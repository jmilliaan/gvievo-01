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evices" sheetId="2" state="visible" r:id="rId4"/>
    <sheet name="Safety data" sheetId="3" state="visible" r:id="rId5"/>
    <sheet name="Mechanical" sheetId="4" state="visible" r:id="rId6"/>
    <sheet name="Cables" sheetId="5" state="visible" r:id="rId7"/>
    <sheet name="Open questions" sheetId="6" state="visible" r:id="rId8"/>
    <sheet name="Sources" sheetId="7" state="visible" r:id="rId9"/>
  </sheets>
  <definedNames>
    <definedName function="false" hidden="false" localSheetId="4" name="_xlnm.Print_Titles" vbProcedure="false">Cables!$4:$4</definedName>
    <definedName function="false" hidden="true" localSheetId="4" name="_xlnm._FilterDatabase" vbProcedure="false">Cables!$A$4:$K$26</definedName>
    <definedName function="false" hidden="false" localSheetId="1" name="_xlnm.Print_Titles" vbProcedure="false">Devices!$4:$4</definedName>
    <definedName function="false" hidden="true" localSheetId="1" name="_xlnm._FilterDatabase" vbProcedure="false">Devices!$A$4:$Q$45</definedName>
    <definedName function="false" hidden="false" localSheetId="3" name="_xlnm.Print_Titles" vbProcedure="false">Mechanical!$4:$4</definedName>
    <definedName function="false" hidden="true" localSheetId="3" name="_xlnm._FilterDatabase" vbProcedure="false">Mechanical!$A$4:$K$11</definedName>
    <definedName function="false" hidden="false" localSheetId="5" name="_xlnm.Print_Titles" vbProcedure="false">'Open questions'!$4:$4</definedName>
    <definedName function="false" hidden="true" localSheetId="5" name="_xlnm._FilterDatabase" vbProcedure="false">'Open questions'!$A$4:$F$20</definedName>
    <definedName function="false" hidden="false" localSheetId="2" name="_xlnm.Print_Titles" vbProcedure="false">'Safety data'!$4:$4</definedName>
    <definedName function="false" hidden="true" localSheetId="2" name="_xlnm._FilterDatabase" vbProcedure="false">'Safety data'!$A$4:$P$14</definedName>
    <definedName function="false" hidden="false" localSheetId="6" name="_xlnm.Print_Titles" vbProcedure="false">Sources!$4:$4</definedName>
    <definedName function="false" hidden="true" localSheetId="6" name="_xlnm._FilterDatabase" vbProcedure="false">Sources!$A$4:$C$22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Component list</author>
  </authors>
  <commentList>
    <comment ref="K8" authorId="0">
      <text>
        <r>
          <rPr>
            <sz val="10"/>
            <rFont val="Arial"/>
            <family val="2"/>
          </rPr>
          <t xml:space="preserve">From the operation manual draft ("Oriental Motor data"). Not on the TÜV certificate on file. Confirm from Oriental Motor safety data, with the mission time.</t>
        </r>
      </text>
    </comment>
    <comment ref="K9" authorId="0">
      <text>
        <r>
          <rPr>
            <sz val="10"/>
            <rFont val="Arial"/>
            <family val="2"/>
          </rPr>
          <t xml:space="preserve">From the operation manual draft ("Oriental Motor data"). Not on the TÜV certificate on file. Confirm from Oriental Motor safety data, with the mission time.</t>
        </r>
      </text>
    </comment>
    <comment ref="L10" authorId="0">
      <text>
        <r>
          <rPr>
            <sz val="10"/>
            <rFont val="Arial"/>
            <family val="2"/>
          </rPr>
          <t xml:space="preserve">From the operation manual draft. No maker is identified yet, so the value cannot be traced. Replace with the maker's B10d.</t>
        </r>
      </text>
    </comment>
  </commentList>
</comments>
</file>

<file path=xl/sharedStrings.xml><?xml version="1.0" encoding="utf-8"?>
<sst xmlns="http://schemas.openxmlformats.org/spreadsheetml/2006/main" count="1219" uniqueCount="634">
  <si>
    <t xml:space="preserve">Component list</t>
  </si>
  <si>
    <t xml:space="preserve">AGV I-PRIME driverless towing vehicle · DRAFT for TÜV SÜD preliminary review · not for production</t>
  </si>
  <si>
    <t xml:space="preserve">Product</t>
  </si>
  <si>
    <t xml:space="preserve">AGV I-PRIME driverless towing vehicle</t>
  </si>
  <si>
    <t xml:space="preserve">How to read and fill in</t>
  </si>
  <si>
    <t xml:space="preserve">Manufacturer</t>
  </si>
  <si>
    <t xml:space="preserve">PT INTI GANDA PERDANA, Jl Pegangsaan Dua Km 1.6, Jakarta Utara, Indonesia</t>
  </si>
  <si>
    <t xml:space="preserve">«…»</t>
  </si>
  <si>
    <t xml:space="preserve">Missing value. Edit these cells: replace the whole «…» text with the value.</t>
  </si>
  <si>
    <t xml:space="preserve">Document</t>
  </si>
  <si>
    <t xml:space="preserve">Component list (parts list, IEC 61355-1 kind &amp;PB)</t>
  </si>
  <si>
    <t xml:space="preserve">[verify] / [confirm] / [decide]</t>
  </si>
  <si>
    <t xml:space="preserve">Filled, but not yet checked. Check it, then remove the flag (or the cell comment) and the colour.</t>
  </si>
  <si>
    <t xml:space="preserve">Document number</t>
  </si>
  <si>
    <t xml:space="preserve">«DOC-NO»</t>
  </si>
  <si>
    <t xml:space="preserve">PROPOSED</t>
  </si>
  <si>
    <t xml:space="preserve">Part should exist but is not yet on the circuit diagrams. Tag proposed; draw it, then set Status to "Drawn".</t>
  </si>
  <si>
    <t xml:space="preserve">Revision</t>
  </si>
  <si>
    <t xml:space="preserve">A</t>
  </si>
  <si>
    <t xml:space="preserve">Grey cell</t>
  </si>
  <si>
    <t xml:space="preserve">Formula. Do not type over it.</t>
  </si>
  <si>
    <t xml:space="preserve">Date</t>
  </si>
  <si>
    <t xml:space="preserve">2026-11-01</t>
  </si>
  <si>
    <t xml:space="preserve">Example row</t>
  </si>
  <si>
    <t xml:space="preserve">Devices row +EB-KE1 (FX3-CPU000000) is complete and shows the expected format.</t>
  </si>
  <si>
    <t xml:space="preserve">Created</t>
  </si>
  <si>
    <t xml:space="preserve">JOY M.</t>
  </si>
  <si>
    <t xml:space="preserve">Sources</t>
  </si>
  <si>
    <t xml:space="preserve">S-numbers point to sheet "Sources". Add a source whenever you fill a value.</t>
  </si>
  <si>
    <t xml:space="preserve">Checked</t>
  </si>
  <si>
    <t xml:space="preserve">JOKI I.</t>
  </si>
  <si>
    <t xml:space="preserve">Safety-related</t>
  </si>
  <si>
    <t xml:space="preserve">Y = part of a safety function SF1–SF5 (circuit diagram page 12). [decide] = for the risk assessment.</t>
  </si>
  <si>
    <t xml:space="preserve">Approved</t>
  </si>
  <si>
    <t xml:space="preserve">ROBERTA A.</t>
  </si>
  <si>
    <t xml:space="preserve">Safety functions</t>
  </si>
  <si>
    <t xml:space="preserve">SF1 emergency stop · SF2 personnel detection, front · SF4 mode selection · SF5 reset. SF3 (rear detection) is not fitted in this revision.</t>
  </si>
  <si>
    <t xml:space="preserve">Status</t>
  </si>
  <si>
    <t xml:space="preserve">DRAFT: for TÜV SÜD preliminary review, not for production</t>
  </si>
  <si>
    <t xml:space="preserve">Language</t>
  </si>
  <si>
    <t xml:space="preserve">English</t>
  </si>
  <si>
    <t xml:space="preserve">Related documents</t>
  </si>
  <si>
    <t xml:space="preserve">Circuit diagram «DOC-NO» (Rev. A, parts list on page 80) · Operation manual «DOC-NO» · Safety controller configuration report «DOC-NO»</t>
  </si>
  <si>
    <t xml:space="preserve">Rules applied</t>
  </si>
  <si>
    <t xml:space="preserve">IEC 62027:2011 (object and parts lists) · IEC 81346-1:2022 / IEC 81346-2:2019 (reference designations) · IEC 61355-1 (document kind) · ISO 13849-1:2023 clause 10 (safety data) · EN 1175:2025 (electrical installation)</t>
  </si>
  <si>
    <t xml:space="preserve">Scope</t>
  </si>
  <si>
    <t xml:space="preserve">Every electrical device on the vehicle, one row per occurrence, in the same tags as the circuit diagrams; safety data of the safety-related devices; cables; safety-relevant mechanical parts. Not included: off-board equipment (charger, tablet, Wi-Fi access point).</t>
  </si>
  <si>
    <t xml:space="preserve">Summary</t>
  </si>
  <si>
    <t xml:space="preserve">Device rows</t>
  </si>
  <si>
    <t xml:space="preserve">Safety-related device rows (Y)</t>
  </si>
  <si>
    <t xml:space="preserve">Rows proposed, not yet on the circuit diagrams</t>
  </si>
  <si>
    <t xml:space="preserve">Cells still to fill «…» (Devices)</t>
  </si>
  <si>
    <t xml:space="preserve">Cells still to fill «…» (Safety data)</t>
  </si>
  <si>
    <t xml:space="preserve">Open questions</t>
  </si>
  <si>
    <t xml:space="preserve">Revisions</t>
  </si>
  <si>
    <t xml:space="preserve">Change</t>
  </si>
  <si>
    <t xml:space="preserve">Name</t>
  </si>
  <si>
    <t xml:space="preserve">First issue, draft</t>
  </si>
  <si>
    <t xml:space="preserve">Devices: one row per occurrence, by reference designation (IEC 62027, IEC 81346)</t>
  </si>
  <si>
    <t xml:space="preserve">Same tags, locations and page numbers as the circuit diagrams. Accessories and built-in parts share the tag of the device they belong to.</t>
  </si>
  <si>
    <t xml:space="preserve">Item</t>
  </si>
  <si>
    <t xml:space="preserve">Group</t>
  </si>
  <si>
    <t xml:space="preserve">Location</t>
  </si>
  <si>
    <t xml:space="preserve">Tag</t>
  </si>
  <si>
    <t xml:space="preserve">Reference designation</t>
  </si>
  <si>
    <t xml:space="preserve">Old name (JIS sheets)</t>
  </si>
  <si>
    <t xml:space="preserve">Description</t>
  </si>
  <si>
    <t xml:space="preserve">Type designation</t>
  </si>
  <si>
    <t xml:space="preserve">Order no.</t>
  </si>
  <si>
    <t xml:space="preserve">Technical data</t>
  </si>
  <si>
    <t xml:space="preserve">Circuit diagram pages</t>
  </si>
  <si>
    <t xml:space="preserve">Safety function(s)</t>
  </si>
  <si>
    <t xml:space="preserve">Remarks</t>
  </si>
  <si>
    <t xml:space="preserve">Power</t>
  </si>
  <si>
    <t xml:space="preserve">+BT</t>
  </si>
  <si>
    <t xml:space="preserve">-GB1</t>
  </si>
  <si>
    <t xml:space="preserve">BATTERY</t>
  </si>
  <si>
    <t xml:space="preserve">Battery 48 V with battery management system (BMS on CAN)</t>
  </si>
  <si>
    <t xml:space="preserve">«MAKER»</t>
  </si>
  <si>
    <t xml:space="preserve">«TYPE»</t>
  </si>
  <si>
    <t xml:space="preserve">«ORDER NO»</t>
  </si>
  <si>
    <t xml:space="preserve">48 V DC nominal, «chemistry», «Ah». The vehicle warns below 42 V and above 56 V</t>
  </si>
  <si>
    <t xml:space="preserve">20, 51</t>
  </si>
  <si>
    <t xml:space="preserve">N</t>
  </si>
  <si>
    <t xml:space="preserve">Drawn</t>
  </si>
  <si>
    <t xml:space="preserve">S1, S10</t>
  </si>
  <si>
    <t xml:space="preserve">BMS CAN link is drawn on page 51, but the as-built CAN node list has only the drivers and the line sensor (S3) [confirm]</t>
  </si>
  <si>
    <t xml:space="preserve">+EB</t>
  </si>
  <si>
    <t xml:space="preserve">-QA1</t>
  </si>
  <si>
    <t xml:space="preserve">MCB-01</t>
  </si>
  <si>
    <t xml:space="preserve">Circuit breaker, 2-pole: supply disconnecting device (main switch)</t>
  </si>
  <si>
    <t xml:space="preserve">2P, 32 A, DC-rated, breaking capacity «kA» at «V» DC</t>
  </si>
  <si>
    <t xml:space="preserve">20</t>
  </si>
  <si>
    <t xml:space="preserve">S1, S2</t>
  </si>
  <si>
    <t xml:space="preserve">Locked off for maintenance (operation manual 15.1)</t>
  </si>
  <si>
    <t xml:space="preserve">Accessory of -QA1: lock-out device (padlock attachment)</t>
  </si>
  <si>
    <t xml:space="preserve">To suit -QA1</t>
  </si>
  <si>
    <t xml:space="preserve">—</t>
  </si>
  <si>
    <t xml:space="preserve">PROPOSED: not yet on the circuit diagrams</t>
  </si>
  <si>
    <t xml:space="preserve">S2</t>
  </si>
  <si>
    <t xml:space="preserve">Designation map: "lockable handle [confirm]". Part of -QA1, so no tag of its own</t>
  </si>
  <si>
    <t xml:space="preserve">-FC1</t>
  </si>
  <si>
    <t xml:space="preserve">MCB-02</t>
  </si>
  <si>
    <t xml:space="preserve">Circuit breaker, 1-pole: feeder, left motor driver (2P48)</t>
  </si>
  <si>
    <t xml:space="preserve">1P, 10 A, DC-rated</t>
  </si>
  <si>
    <t xml:space="preserve">-FC2</t>
  </si>
  <si>
    <t xml:space="preserve">MCB-03</t>
  </si>
  <si>
    <t xml:space="preserve">Circuit breaker, 1-pole: feeder, right motor driver (3P48)</t>
  </si>
  <si>
    <t xml:space="preserve">-FC3</t>
  </si>
  <si>
    <t xml:space="preserve">MCB-04</t>
  </si>
  <si>
    <t xml:space="preserve">Circuit breaker, 2-pole: 24 V control bus (1P24)</t>
  </si>
  <si>
    <t xml:space="preserve">2P, 10 A, DC-rated</t>
  </si>
  <si>
    <t xml:space="preserve">30</t>
  </si>
  <si>
    <t xml:space="preserve">Feeds -KE1, which needs its supply limited to 4 A (open question 1)</t>
  </si>
  <si>
    <t xml:space="preserve">-FC4</t>
  </si>
  <si>
    <t xml:space="preserve">MCB-05</t>
  </si>
  <si>
    <t xml:space="preserve">Circuit breaker, 2-pole: 12 V bus (1P12)</t>
  </si>
  <si>
    <t xml:space="preserve">32</t>
  </si>
  <si>
    <t xml:space="preserve">-TA3</t>
  </si>
  <si>
    <t xml:space="preserve">BUCK01</t>
  </si>
  <si>
    <t xml:space="preserve">DC/DC converter 48 → 24 V, isolated; supplies the safety controller</t>
  </si>
  <si>
    <t xml:space="preserve">Mean Well</t>
  </si>
  <si>
    <t xml:space="preserve">SD-150C-24 [confirm on label]</t>
  </si>
  <si>
    <t xml:space="preserve">Same as type</t>
  </si>
  <si>
    <t xml:space="preserve">In 36–72 V DC; out 24 V DC, 6.3 A (151 W); I/O isolation 1.5 kV AC</t>
  </si>
  <si>
    <t xml:space="preserve">20, 30</t>
  </si>
  <si>
    <t xml:space="preserve">S1, S13</t>
  </si>
  <si>
    <t xml:space="preserve">The repo marks the type "?SD-150C-24". Its failure behaviour matters to the risk assessment (S2)</t>
  </si>
  <si>
    <t xml:space="preserve">-TA4</t>
  </si>
  <si>
    <t xml:space="preserve">BUCK02</t>
  </si>
  <si>
    <t xml:space="preserve">DC/DC converter 48 → 12 V, isolated</t>
  </si>
  <si>
    <t xml:space="preserve">Out 12 V DC, 8.3 A (100 W), per the circuit diagram</t>
  </si>
  <si>
    <t xml:space="preserve">20, 32</t>
  </si>
  <si>
    <t xml:space="preserve">S1</t>
  </si>
  <si>
    <t xml:space="preserve">Drives</t>
  </si>
  <si>
    <t xml:space="preserve">-TA1</t>
  </si>
  <si>
    <t xml:space="preserve">DRIVER 01</t>
  </si>
  <si>
    <t xml:space="preserve">Motor driver, left: brushless DC, CANopen, safe torque off (HWTO) with EDM output</t>
  </si>
  <si>
    <t xml:space="preserve">Oriental Motor</t>
  </si>
  <si>
    <t xml:space="preserve">BLVD-KRD</t>
  </si>
  <si>
    <t xml:space="preserve">24–48 V DC in; for 400 W BLV-R motor; CANopen CiA 301 / 402; STO input 12–30 V DC; ambient 0–40 °C</t>
  </si>
  <si>
    <t xml:space="preserve">21, 42, 50, 51</t>
  </si>
  <si>
    <t xml:space="preserve">Y</t>
  </si>
  <si>
    <t xml:space="preserve">SF1, SF2</t>
  </si>
  <si>
    <t xml:space="preserve">S1, S4, S5, S6, S12</t>
  </si>
  <si>
    <t xml:space="preserve">CANopen node 1 (S3). Factory STO jumpers removed. Safety data: sheet "Safety data"</t>
  </si>
  <si>
    <t xml:space="preserve">-TA2</t>
  </si>
  <si>
    <t xml:space="preserve">DRIVER 02</t>
  </si>
  <si>
    <t xml:space="preserve">Motor driver, right: brushless DC, CANopen, safe torque off (HWTO) with EDM output</t>
  </si>
  <si>
    <t xml:space="preserve">CANopen node 2 (S3)</t>
  </si>
  <si>
    <t xml:space="preserve">+VH</t>
  </si>
  <si>
    <t xml:space="preserve">-MA1</t>
  </si>
  <si>
    <t xml:space="preserve">LEFT MOTOR</t>
  </si>
  <si>
    <t xml:space="preserve">Brushless motor with electromagnetic holding brake, for parallel-shaft gearhead, left</t>
  </si>
  <si>
    <t xml:space="preserve">BLMR6400SKM-GFV-B</t>
  </si>
  <si>
    <t xml:space="preserve">400 W; holding brake released by -TA1</t>
  </si>
  <si>
    <t xml:space="preserve">21</t>
  </si>
  <si>
    <t xml:space="preserve">[decide]</t>
  </si>
  <si>
    <t xml:space="preserve">S1, S5, S6</t>
  </si>
  <si>
    <t xml:space="preserve">Whether the brake counts in the stop function is a risk-assessment decision (S2). Gearhead: sheet "Mechanical"</t>
  </si>
  <si>
    <t xml:space="preserve">-MA2</t>
  </si>
  <si>
    <t xml:space="preserve">RIGHT MOTOR</t>
  </si>
  <si>
    <t xml:space="preserve">Brushless motor with electromagnetic holding brake, for parallel-shaft gearhead, right</t>
  </si>
  <si>
    <t xml:space="preserve">400 W; holding brake released by -TA2</t>
  </si>
  <si>
    <t xml:space="preserve">As -MA1</t>
  </si>
  <si>
    <t xml:space="preserve">Safety</t>
  </si>
  <si>
    <t xml:space="preserve">-KE1</t>
  </si>
  <si>
    <t xml:space="preserve">SAFETY PLC (CPU MODULE)</t>
  </si>
  <si>
    <t xml:space="preserve">Safety controller main module, Flexi Soft</t>
  </si>
  <si>
    <t xml:space="preserve">SICK</t>
  </si>
  <si>
    <t xml:space="preserve">FX3-CPU000000</t>
  </si>
  <si>
    <t xml:space="preserve">1043783</t>
  </si>
  <si>
    <t xml:space="preserve">24 V DC (16.8–30 V DC), PELV / SELV; supply current limited to 4 A max.; IP20; −25 to +55 °C</t>
  </si>
  <si>
    <t xml:space="preserve">43</t>
  </si>
  <si>
    <t xml:space="preserve">SF1, SF2, SF4, SF5</t>
  </si>
  <si>
    <t xml:space="preserve">S1, S7</t>
  </si>
  <si>
    <t xml:space="preserve">Example of a complete row. The circuit diagrams call it "FX3-CPU0"</t>
  </si>
  <si>
    <t xml:space="preserve">Accessory of -KE1: system plug (holds the safety configuration)</t>
  </si>
  <si>
    <t xml:space="preserve">FX3-MPL000001 [confirm]</t>
  </si>
  <si>
    <t xml:space="preserve">1043700</t>
  </si>
  <si>
    <t xml:space="preserve">S7</t>
  </si>
  <si>
    <t xml:space="preserve">SICK: "the system plug has to be ordered separately". Page 43 shows it as part of -KE1. Read the fitted type</t>
  </si>
  <si>
    <t xml:space="preserve">-KE2</t>
  </si>
  <si>
    <t xml:space="preserve">SAFETY PLC (XTIO MODULE)</t>
  </si>
  <si>
    <t xml:space="preserve">Safety I/O module, Flexi Soft: 8 safe inputs, 2 test outputs, 4 safe outputs</t>
  </si>
  <si>
    <t xml:space="preserve">FX3-XTIO84002</t>
  </si>
  <si>
    <t xml:space="preserve">1044125</t>
  </si>
  <si>
    <t xml:space="preserve">24 V DC (16.8–30 V DC); outputs PNP, short-circuit protected; IP20; −25 to +55 °C</t>
  </si>
  <si>
    <t xml:space="preserve">40–44</t>
  </si>
  <si>
    <t xml:space="preserve">S1, S8</t>
  </si>
  <si>
    <t xml:space="preserve">Q3, Q4 spare</t>
  </si>
  <si>
    <t xml:space="preserve">+FR</t>
  </si>
  <si>
    <t xml:space="preserve">-SJ1</t>
  </si>
  <si>
    <t xml:space="preserve">EMERGENCY STOP PB</t>
  </si>
  <si>
    <t xml:space="preserve">Emergency stop push-button, 2 NC (11-12, 21-22), positive opening, turn to release</t>
  </si>
  <si>
    <t xml:space="preserve">Must meet ISO 13850 and IEC 60947-5-5 [confirm on the data sheet]</t>
  </si>
  <si>
    <t xml:space="preserve">40</t>
  </si>
  <si>
    <t xml:space="preserve">SF1</t>
  </si>
  <si>
    <t xml:space="preserve">To -KE2 I1 / I2, test pulses X1 / X2</t>
  </si>
  <si>
    <t xml:space="preserve">-SJ3</t>
  </si>
  <si>
    <t xml:space="preserve">PB RESET</t>
  </si>
  <si>
    <t xml:space="preserve">Push-button RESET, blue, 2 NO (13-14 → -KE2:I8; 23-24 → -KE4:DI01)</t>
  </si>
  <si>
    <t xml:space="preserve">2 NO</t>
  </si>
  <si>
    <t xml:space="preserve">40, 60</t>
  </si>
  <si>
    <t xml:space="preserve">SF5</t>
  </si>
  <si>
    <t xml:space="preserve">-SJ4</t>
  </si>
  <si>
    <t xml:space="preserve">SS MANUAL/AUTO</t>
  </si>
  <si>
    <t xml:space="preserve">Selector switch MANUAL / AUTO, 2 positions, 2 NO (13-14 → -KE2:I7; 23-24 → -KE4:DI02)</t>
  </si>
  <si>
    <t xml:space="preserve">2 positions, 2 NO</t>
  </si>
  <si>
    <t xml:space="preserve">SF4</t>
  </si>
  <si>
    <t xml:space="preserve">Which position closes the contacts is still open (S2)</t>
  </si>
  <si>
    <t xml:space="preserve">-BG1</t>
  </si>
  <si>
    <t xml:space="preserve">SAFETY LIDAR 01</t>
  </si>
  <si>
    <t xml:space="preserve">Safety laser scanner, front</t>
  </si>
  <si>
    <t xml:space="preserve">nanoScan3 Core I/O «variant, e.g. NANS3-AAAZ30AN1»</t>
  </si>
  <si>
    <t xml:space="preserve">«ORDER NO, e.g. 1100333»</t>
  </si>
  <si>
    <t xml:space="preserve">Type 3 (IEC 61496); 24 V DC (16.8–30 V DC); 1 OSSD pair; IP65; measured data via Ethernet (values for NANS3-AAAZ30AN1)</t>
  </si>
  <si>
    <t xml:space="preserve">30, 41</t>
  </si>
  <si>
    <t xml:space="preserve">SF2</t>
  </si>
  <si>
    <t xml:space="preserve">S1, S3, S9</t>
  </si>
  <si>
    <t xml:space="preserve">Core I/O inferred from the wiring: 1 OSSD pair to -KE2 I5 / I6, Ethernet data to -KE3 (192.168.3.10). Range variant not verified</t>
  </si>
  <si>
    <t xml:space="preserve">Accessory of -BG1: system plug (connection unit)</t>
  </si>
  <si>
    <t xml:space="preserve">41</t>
  </si>
  <si>
    <t xml:space="preserve">S9</t>
  </si>
  <si>
    <t xml:space="preserve">The data sheet lists the scanner "without system plug"; the connection type depends on the plug</t>
  </si>
  <si>
    <t xml:space="preserve">Control</t>
  </si>
  <si>
    <t xml:space="preserve">-KE3</t>
  </si>
  <si>
    <t xml:space="preserve">IPC</t>
  </si>
  <si>
    <t xml:space="preserve">Vehicle controller: fanless industrial PC, Intel N97</t>
  </si>
  <si>
    <t xml:space="preserve">NEXCOM</t>
  </si>
  <si>
    <t xml:space="preserve">Neu-X102-N97</t>
  </si>
  <si>
    <t xml:space="preserve">12 V DC in; 2 × Ethernet (Intel i226); Wi-Fi; −5 to +50 °C (distributor data) [verify]</t>
  </si>
  <si>
    <t xml:space="preserve">11, 32, 51</t>
  </si>
  <si>
    <t xml:space="preserve">S1, S3, S14</t>
  </si>
  <si>
    <t xml:space="preserve">Not safety-rated. LAN1 → -KE4 → -BG4; LAN2 → -BG1 (S3)</t>
  </si>
  <si>
    <t xml:space="preserve">Built into -KE3: Wi-Fi card (radio equipment)</t>
  </si>
  <si>
    <t xml:space="preserve">Intel</t>
  </si>
  <si>
    <t xml:space="preserve">Wireless 7260</t>
  </si>
  <si>
    <t xml:space="preserve">«bands, transmit power»</t>
  </si>
  <si>
    <t xml:space="preserve">11</t>
  </si>
  <si>
    <t xml:space="preserve">Built into -KE3</t>
  </si>
  <si>
    <t xml:space="preserve">S3</t>
  </si>
  <si>
    <t xml:space="preserve">Radio device: check Indonesian type approval (open question 11)</t>
  </si>
  <si>
    <t xml:space="preserve">-KE4</t>
  </si>
  <si>
    <t xml:space="preserve">DIGITAL IO</t>
  </si>
  <si>
    <t xml:space="preserve">I/O module: 16 DI / 12 relay DO, Modbus TCP, 2 Ethernet ports (IN / OUT)</t>
  </si>
  <si>
    <t xml:space="preserve">CK-EC5163</t>
  </si>
  <si>
    <t xml:space="preserve">24 V DC</t>
  </si>
  <si>
    <t xml:space="preserve">30, 60–62</t>
  </si>
  <si>
    <t xml:space="preserve">S1, S3</t>
  </si>
  <si>
    <t xml:space="preserve">192.168.1.30, Modbus TCP 502. Maker not identified; no public data sheet found</t>
  </si>
  <si>
    <t xml:space="preserve">-TF1</t>
  </si>
  <si>
    <t xml:space="preserve">CAN-USB ADAPTER</t>
  </si>
  <si>
    <t xml:space="preserve">USB-to-CAN interface (slcan firmware), on an IPC USB port</t>
  </si>
  <si>
    <t xml:space="preserve">Openlight Labs</t>
  </si>
  <si>
    <t xml:space="preserve">CANable 2.0</t>
  </si>
  <si>
    <t xml:space="preserve">USB-powered; on-board 120 Ω termination, switchable; used at 125 kbit/s</t>
  </si>
  <si>
    <t xml:space="preserve">11, 51</t>
  </si>
  <si>
    <t xml:space="preserve">S1, S3, S16</t>
  </si>
  <si>
    <t xml:space="preserve">USB ID 16d0:117e. Its termination closes one bus end (page 51 note 3)</t>
  </si>
  <si>
    <t xml:space="preserve">-SJ2</t>
  </si>
  <si>
    <t xml:space="preserve">PB START</t>
  </si>
  <si>
    <t xml:space="preserve">Push-button START, 1 NO → -KE4:DI00</t>
  </si>
  <si>
    <t xml:space="preserve">1 NO, colour «colour»</t>
  </si>
  <si>
    <t xml:space="preserve">60</t>
  </si>
  <si>
    <t xml:space="preserve">-SJ5</t>
  </si>
  <si>
    <t xml:space="preserve">MANUAL ARM SW</t>
  </si>
  <si>
    <t xml:space="preserve">Switch MANUAL ARM → -KE4:DI08</t>
  </si>
  <si>
    <t xml:space="preserve">«switch type»</t>
  </si>
  <si>
    <t xml:space="preserve">Location +FR [confirm]</t>
  </si>
  <si>
    <t xml:space="preserve">+PD</t>
  </si>
  <si>
    <t xml:space="preserve">-SJ6</t>
  </si>
  <si>
    <t xml:space="preserve">PENDANT FORWARD</t>
  </si>
  <si>
    <t xml:space="preserve">Pendant button FORWARD, 1 NO, hold to run → -KE4:DI03</t>
  </si>
  <si>
    <t xml:space="preserve">1 NO</t>
  </si>
  <si>
    <t xml:space="preserve">-SJ7</t>
  </si>
  <si>
    <t xml:space="preserve">PENDANT REVERSE</t>
  </si>
  <si>
    <t xml:space="preserve">Pendant button REVERSE, 1 NO, hold to run → -KE4:DI04</t>
  </si>
  <si>
    <t xml:space="preserve">-SJ8</t>
  </si>
  <si>
    <t xml:space="preserve">PENDANT LEFT</t>
  </si>
  <si>
    <t xml:space="preserve">Pendant button LEFT, 1 NO, hold to run → -KE4:DI05</t>
  </si>
  <si>
    <t xml:space="preserve">-SJ9</t>
  </si>
  <si>
    <t xml:space="preserve">PENDANT RIGHT</t>
  </si>
  <si>
    <t xml:space="preserve">Pendant button RIGHT, 1 NO, hold to run → -KE4:DI06</t>
  </si>
  <si>
    <t xml:space="preserve">Common return on one wire</t>
  </si>
  <si>
    <t xml:space="preserve">Sensors</t>
  </si>
  <si>
    <t xml:space="preserve">-BG3</t>
  </si>
  <si>
    <t xml:space="preserve">LINE SENSOR 01</t>
  </si>
  <si>
    <t xml:space="preserve">Magnetic line sensor, 200 mm, CANopen, with built-in IMU (gyro, accelerometer)</t>
  </si>
  <si>
    <t xml:space="preserve">MLSE-0200 «full type code, e.g. MLSE-0200A2NP0»</t>
  </si>
  <si>
    <t xml:space="preserve">24 V DC from 1P24; reads ±100 mm; CANopen node 10, 125 kbit/s</t>
  </si>
  <si>
    <t xml:space="preserve">31, 51</t>
  </si>
  <si>
    <t xml:space="preserve">S1, S3, S11, S15</t>
  </si>
  <si>
    <t xml:space="preserve">The full type code tells whether a CAN terminator is built in (open question 6)</t>
  </si>
  <si>
    <t xml:space="preserve">-BG4</t>
  </si>
  <si>
    <t xml:space="preserve">RFID READER</t>
  </si>
  <si>
    <t xml:space="preserve">UHF RFID reader (EPC Gen2), Ethernet</t>
  </si>
  <si>
    <t xml:space="preserve">Chafon</t>
  </si>
  <si>
    <t xml:space="preserve">CF821 (module CP-203910_V1.13 / RN370MU-910)</t>
  </si>
  <si>
    <t xml:space="preserve">12 V DC; set to 902.75–927.25 MHz (US region), 30 dBm</t>
  </si>
  <si>
    <t xml:space="preserve">11, 32</t>
  </si>
  <si>
    <t xml:space="preserve">Radio device. 192.168.1.200. Change to the Indonesian band 920–923 MHz is pending (open question 11)</t>
  </si>
  <si>
    <t xml:space="preserve">Other</t>
  </si>
  <si>
    <t xml:space="preserve">-PJ1</t>
  </si>
  <si>
    <t xml:space="preserve">AUDIO HORN 01</t>
  </si>
  <si>
    <t xml:space="preserve">Audio horn, 2 sounds: sound 1 = movement (DO0), sound 2 = alarm (DO1)</t>
  </si>
  <si>
    <t xml:space="preserve">PATLITE</t>
  </si>
  <si>
    <t xml:space="preserve">24 V DC; «dB(A) at 1 m»</t>
  </si>
  <si>
    <t xml:space="preserve">30, 61</t>
  </si>
  <si>
    <t xml:space="preserve">S1, S2, S10</t>
  </si>
  <si>
    <t xml:space="preserve">Software-driven warning device. Location +VH [confirm]</t>
  </si>
  <si>
    <t xml:space="preserve">-PH1</t>
  </si>
  <si>
    <t xml:space="preserve">DISPLAY</t>
  </si>
  <si>
    <t xml:space="preserve">Display: operator kiosk pages</t>
  </si>
  <si>
    <t xml:space="preserve">24 V DC, barrel jack; «size»</t>
  </si>
  <si>
    <t xml:space="preserve">31</t>
  </si>
  <si>
    <t xml:space="preserve">S1, S2, S3</t>
  </si>
  <si>
    <t xml:space="preserve">-GQ1</t>
  </si>
  <si>
    <t xml:space="preserve">FAN 01</t>
  </si>
  <si>
    <t xml:space="preserve">Fan, electrical box</t>
  </si>
  <si>
    <t xml:space="preserve">NMB-MAT</t>
  </si>
  <si>
    <t xml:space="preserve">-GQ2</t>
  </si>
  <si>
    <t xml:space="preserve">FAN 02</t>
  </si>
  <si>
    <t xml:space="preserve">-GQ3</t>
  </si>
  <si>
    <t xml:space="preserve">FAN 03</t>
  </si>
  <si>
    <t xml:space="preserve">-XE1</t>
  </si>
  <si>
    <t xml:space="preserve">PE</t>
  </si>
  <si>
    <t xml:space="preserve">Chassis earth point (protective bonding)</t>
  </si>
  <si>
    <t xml:space="preserve">Physical position not documented (owner decision, 2026-10-31)</t>
  </si>
  <si>
    <t xml:space="preserve">«location»</t>
  </si>
  <si>
    <t xml:space="preserve">-XD1</t>
  </si>
  <si>
    <t xml:space="preserve">Charging socket, 48 V</t>
  </si>
  <si>
    <t xml:space="preserve">48 V DC, «A»</t>
  </si>
  <si>
    <t xml:space="preserve">S10</t>
  </si>
  <si>
    <t xml:space="preserve">The manual (12.2) refers to "charging socket [tag]". Connected to the battery «directly / after -QA1» [confirm]. -XD1 is free since the terminal strip was removed (2026-10-31)</t>
  </si>
  <si>
    <t xml:space="preserve">-RA1</t>
  </si>
  <si>
    <t xml:space="preserve">CAN bus terminating resistor 120 Ω, far end of the bus</t>
  </si>
  <si>
    <t xml:space="preserve">120 Ω</t>
  </si>
  <si>
    <t xml:space="preserve">51</t>
  </si>
  <si>
    <t xml:space="preserve">S1, S17</t>
  </si>
  <si>
    <t xml:space="preserve">Class RA [verify]. Page 51 note 3: "Far bus end: «confirm»". Delete this row if the far end is terminated inside -TA2, -BG3 or -GB1, and note that setting instead</t>
  </si>
  <si>
    <t xml:space="preserve">Safety data of the safety-related devices (ISO 13849-1 clause 10)</t>
  </si>
  <si>
    <t xml:space="preserve">Values as stated by the component maker. Achieved PL and PFHd of each safety function come from the validation (SISTEMA), not from this list.</t>
  </si>
  <si>
    <t xml:space="preserve">Device (from Devices)</t>
  </si>
  <si>
    <t xml:space="preserve">Manufacturer (from Devices)</t>
  </si>
  <si>
    <t xml:space="preserve">Type (from Devices)</t>
  </si>
  <si>
    <t xml:space="preserve">Role in the function</t>
  </si>
  <si>
    <t xml:space="preserve">Type (IEC 61496)</t>
  </si>
  <si>
    <t xml:space="preserve">SIL (IEC 61508)</t>
  </si>
  <si>
    <t xml:space="preserve">PL (ISO 13849-1)</t>
  </si>
  <si>
    <t xml:space="preserve">Category</t>
  </si>
  <si>
    <t xml:space="preserve">PFHd [1/h]</t>
  </si>
  <si>
    <t xml:space="preserve">B10d [cycles]</t>
  </si>
  <si>
    <t xml:space="preserve">Mission time TM [years]</t>
  </si>
  <si>
    <t xml:space="preserve">Certificate (body, number, validity)</t>
  </si>
  <si>
    <t xml:space="preserve">+EB-KE1</t>
  </si>
  <si>
    <t xml:space="preserve">Logic</t>
  </si>
  <si>
    <t xml:space="preserve">SIL 3</t>
  </si>
  <si>
    <t xml:space="preserve">PL e</t>
  </si>
  <si>
    <t xml:space="preserve">Cat. 4</t>
  </si>
  <si>
    <t xml:space="preserve">«body, number, validity» (check sick.com/1043783)</t>
  </si>
  <si>
    <t xml:space="preserve">Data sheet copy dated 2024-11-27</t>
  </si>
  <si>
    <t xml:space="preserve">+EB-KE2</t>
  </si>
  <si>
    <t xml:space="preserve">Logic (safe inputs and outputs)</t>
  </si>
  <si>
    <t xml:space="preserve">Data sheet lists EC-type examination (Directive and Machinery Regulation), UK-type examination, cULus, S Mark. «body, number, validity»</t>
  </si>
  <si>
    <t xml:space="preserve">S8</t>
  </si>
  <si>
    <t xml:space="preserve">PFHd 4.8 × 10⁻⁹ for single-channel outputs, 0.9 × 10⁻⁹ for dual-channel outputs: use the value that matches the configured outputs Q1 / Q2</t>
  </si>
  <si>
    <t xml:space="preserve">+VH-BG1</t>
  </si>
  <si>
    <t xml:space="preserve">Input (sensor)</t>
  </si>
  <si>
    <t xml:space="preserve">Type 3</t>
  </si>
  <si>
    <t xml:space="preserve">SIL 2</t>
  </si>
  <si>
    <t xml:space="preserve">PL d</t>
  </si>
  <si>
    <t xml:space="preserve">Cat. 3</t>
  </si>
  <si>
    <t xml:space="preserve">Data sheet lists EC-type examination (Directive and Machinery Regulation), UK-type examination, cULus, S Mark, China GB. «body, number, validity»</t>
  </si>
  <si>
    <t xml:space="preserve">Values for NANS3-AAAZ30AN1: confirm the fitted variant. Basic response time 70 ms on the data sheet; the configured value comes from the Safety Designer report</t>
  </si>
  <si>
    <t xml:space="preserve">+EB-TA1</t>
  </si>
  <si>
    <t xml:space="preserve">Output (STO)</t>
  </si>
  <si>
    <t xml:space="preserve">«TM»</t>
  </si>
  <si>
    <t xml:space="preserve">TÜV SÜD Product Service GmbH, Z10 106467 0002 Rev. 00, valid until 2029-08-12 (test report OT102914T). Tested to IEC 61800-5-2:2016, IEC 61508-1/-2:2010 (SIL 2), ISO 13849-1:2023 (Cat. 3, PL d)</t>
  </si>
  <si>
    <t xml:space="preserve">S4, S5, S10</t>
  </si>
  <si>
    <t xml:space="preserve">STO input 12–30 V DC. EDM output to -KE2 I3</t>
  </si>
  <si>
    <t xml:space="preserve">+EB-TA2</t>
  </si>
  <si>
    <t xml:space="preserve">EDM output to -KE2 I4</t>
  </si>
  <si>
    <t xml:space="preserve">+FR-SJ1</t>
  </si>
  <si>
    <t xml:space="preserve">Input (command device)</t>
  </si>
  <si>
    <t xml:space="preserve">«certificate, if any»</t>
  </si>
  <si>
    <t xml:space="preserve">Maker and type not identified</t>
  </si>
  <si>
    <t xml:space="preserve">+FR-SJ3</t>
  </si>
  <si>
    <t xml:space="preserve">Input (reset)</t>
  </si>
  <si>
    <t xml:space="preserve">«B10d»</t>
  </si>
  <si>
    <t xml:space="preserve">+FR-SJ4</t>
  </si>
  <si>
    <t xml:space="preserve">Input (mode selection)</t>
  </si>
  <si>
    <t xml:space="preserve">+VH-MA1</t>
  </si>
  <si>
    <t xml:space="preserve">Holding brake: holds the vehicle after STO</t>
  </si>
  <si>
    <t xml:space="preserve">Only if the risk assessment counts the brake in a safety function</t>
  </si>
  <si>
    <t xml:space="preserve">+VH-MA2</t>
  </si>
  <si>
    <t xml:space="preserve">Safety-relevant mechanical parts</t>
  </si>
  <si>
    <t xml:space="preserve">Not tagged on the circuit diagrams (designation map: mechanical parts are not tagged).</t>
  </si>
  <si>
    <t xml:space="preserve">Part</t>
  </si>
  <si>
    <t xml:space="preserve">Belongs to</t>
  </si>
  <si>
    <t xml:space="preserve">Qty</t>
  </si>
  <si>
    <t xml:space="preserve">Why it is safety-relevant</t>
  </si>
  <si>
    <t xml:space="preserve">Gearhead, parallel shaft, 1:30</t>
  </si>
  <si>
    <t xml:space="preserve">«TYPE, e.g. GFV6G30» [verify]</t>
  </si>
  <si>
    <t xml:space="preserve">Ratio 1:30</t>
  </si>
  <si>
    <t xml:space="preserve">Carries drive and holding-brake torque to the left wheel</t>
  </si>
  <si>
    <t xml:space="preserve">Fitted</t>
  </si>
  <si>
    <t xml:space="preserve">S1, S12</t>
  </si>
  <si>
    <t xml:space="preserve">The type is inferred from Oriental Motor naming (GFV6G15 = 1:15); read the label</t>
  </si>
  <si>
    <t xml:space="preserve">As left</t>
  </si>
  <si>
    <t xml:space="preserve">Drive wheel</t>
  </si>
  <si>
    <t xml:space="preserve">Ø 180 mm; track width 487 mm; tread «material»</t>
  </si>
  <si>
    <t xml:space="preserve">Traction and braking: stopping distance depends on it</t>
  </si>
  <si>
    <t xml:space="preserve">Castor</t>
  </si>
  <si>
    <t xml:space="preserve">«qty»</t>
  </si>
  <si>
    <t xml:space="preserve">«wheel Ø, load rating»</t>
  </si>
  <si>
    <t xml:space="preserve">Stability</t>
  </si>
  <si>
    <t xml:space="preserve">[confirm]</t>
  </si>
  <si>
    <t xml:space="preserve">The manual says "castors [confirm]"</t>
  </si>
  <si>
    <t xml:space="preserve">Towing hitch</t>
  </si>
  <si>
    <t xml:space="preserve">«MAKER or in-house»</t>
  </si>
  <si>
    <t xml:space="preserve">«pin or hook» [TBD]</t>
  </si>
  <si>
    <t xml:space="preserve">Towed mass max. 1 000 kg; drawbar force est. ≈ 1 200 N [verify]; coupling height «mm»</t>
  </si>
  <si>
    <t xml:space="preserve">Uncoupling during travel; crushing at the coupling point</t>
  </si>
  <si>
    <t xml:space="preserve">Operation manual 4.6</t>
  </si>
  <si>
    <t xml:space="preserve">Hitch securing device</t>
  </si>
  <si>
    <t xml:space="preserve">«TYPE, e.g. spring cotter» [TBD]</t>
  </si>
  <si>
    <t xml:space="preserve">Stops the trolley uncoupling by itself</t>
  </si>
  <si>
    <t xml:space="preserve">Scanner mounting bracket</t>
  </si>
  <si>
    <t xml:space="preserve">«drawing no.»</t>
  </si>
  <si>
    <t xml:space="preserve">Holds -BG1 0.964 m ahead of the axle, scan plane 110 mm above the floor</t>
  </si>
  <si>
    <t xml:space="preserve">The protective field is only valid at this position and height</t>
  </si>
  <si>
    <t xml:space="preserve">S18</t>
  </si>
  <si>
    <t xml:space="preserve">Cables (circuit diagram page 75)</t>
  </si>
  <si>
    <t xml:space="preserve">Colours: 48 V power black; 24 V / 12 V control and safety blue; PE green-and-yellow; supplier cables as supplied.</t>
  </si>
  <si>
    <t xml:space="preserve">Cable tag</t>
  </si>
  <si>
    <t xml:space="preserve">Type</t>
  </si>
  <si>
    <t xml:space="preserve">Cores × size</t>
  </si>
  <si>
    <t xml:space="preserve">From</t>
  </si>
  <si>
    <t xml:space="preserve">To</t>
  </si>
  <si>
    <t xml:space="preserve">Length</t>
  </si>
  <si>
    <t xml:space="preserve">-WD1</t>
  </si>
  <si>
    <t xml:space="preserve">NYAF single cores, black</t>
  </si>
  <si>
    <t xml:space="preserve">2 × 4 mm²</t>
  </si>
  <si>
    <t xml:space="preserve">«m»</t>
  </si>
  <si>
    <t xml:space="preserve">-WD2</t>
  </si>
  <si>
    <t xml:space="preserve">2 × 2.5 mm²</t>
  </si>
  <si>
    <t xml:space="preserve">-FC1, 1N48 bus</t>
  </si>
  <si>
    <t xml:space="preserve">-WD6</t>
  </si>
  <si>
    <t xml:space="preserve">-WD3</t>
  </si>
  <si>
    <t xml:space="preserve">-FC2, 1N48 bus</t>
  </si>
  <si>
    <t xml:space="preserve">-WD7</t>
  </si>
  <si>
    <t xml:space="preserve">-WD4</t>
  </si>
  <si>
    <t xml:space="preserve">2 × 1.5 mm²</t>
  </si>
  <si>
    <t xml:space="preserve">1P48, 1N48</t>
  </si>
  <si>
    <t xml:space="preserve">-TA3 in</t>
  </si>
  <si>
    <t xml:space="preserve">-WD5</t>
  </si>
  <si>
    <t xml:space="preserve">-TA4 in</t>
  </si>
  <si>
    <t xml:space="preserve">LC03D06A</t>
  </si>
  <si>
    <t xml:space="preserve">3 cores (+, 0 V, PE)</t>
  </si>
  <si>
    <t xml:space="preserve">-WD2, PE</t>
  </si>
  <si>
    <t xml:space="preserve">-TA1 power</t>
  </si>
  <si>
    <t xml:space="preserve">-WD3, PE</t>
  </si>
  <si>
    <t xml:space="preserve">-TA2 power</t>
  </si>
  <si>
    <t xml:space="preserve">-WD8</t>
  </si>
  <si>
    <t xml:space="preserve">CCM010B1AAF</t>
  </si>
  <si>
    <t xml:space="preserve">motor + encoder</t>
  </si>
  <si>
    <t xml:space="preserve">1 m</t>
  </si>
  <si>
    <t xml:space="preserve">-WD9</t>
  </si>
  <si>
    <t xml:space="preserve">-WD10</t>
  </si>
  <si>
    <t xml:space="preserve">Display power cable</t>
  </si>
  <si>
    <t xml:space="preserve">2 cores</t>
  </si>
  <si>
    <t xml:space="preserve">1P24, 1N24</t>
  </si>
  <si>
    <t xml:space="preserve">-WD11</t>
  </si>
  <si>
    <t xml:space="preserve">IPC power cable</t>
  </si>
  <si>
    <t xml:space="preserve">1P12, 1N12</t>
  </si>
  <si>
    <t xml:space="preserve">-WD12</t>
  </si>
  <si>
    <t xml:space="preserve">RFID power cable</t>
  </si>
  <si>
    <t xml:space="preserve">-WG1</t>
  </si>
  <si>
    <t xml:space="preserve">Connection cable for nanoScan3 «TYPE»</t>
  </si>
  <si>
    <t xml:space="preserve">«cores»</t>
  </si>
  <si>
    <t xml:space="preserve">1P24, 1N24; -KE2:I5, I6</t>
  </si>
  <si>
    <t xml:space="preserve">-WG2</t>
  </si>
  <si>
    <t xml:space="preserve">MLSE power and communication cable «TYPE»</t>
  </si>
  <si>
    <t xml:space="preserve">1P24, 1N24; CAN bus</t>
  </si>
  <si>
    <t xml:space="preserve">-WG3</t>
  </si>
  <si>
    <t xml:space="preserve">Belden</t>
  </si>
  <si>
    <t xml:space="preserve">9841 (CAN H, L) + AWG22 core (GND)</t>
  </si>
  <si>
    <t xml:space="preserve">1 × 2 × 0.32 mm² + 1</t>
  </si>
  <si>
    <t xml:space="preserve">CAN bus</t>
  </si>
  <si>
    <t xml:space="preserve">-TA1:5, 6, 7</t>
  </si>
  <si>
    <t xml:space="preserve">Shield connection «confirm» (page 51 note 4)</t>
  </si>
  <si>
    <t xml:space="preserve">-WG4</t>
  </si>
  <si>
    <t xml:space="preserve">-TA2:5, 6, 7</t>
  </si>
  <si>
    <t xml:space="preserve">-WG5</t>
  </si>
  <si>
    <t xml:space="preserve">9841 + battery communication cable</t>
  </si>
  <si>
    <t xml:space="preserve">-GB1 BMS</t>
  </si>
  <si>
    <t xml:space="preserve">-WG6</t>
  </si>
  <si>
    <t xml:space="preserve">USB cable</t>
  </si>
  <si>
    <t xml:space="preserve">USB</t>
  </si>
  <si>
    <t xml:space="preserve">-WG7</t>
  </si>
  <si>
    <t xml:space="preserve">Ethernet patch cable</t>
  </si>
  <si>
    <t xml:space="preserve">RJ45</t>
  </si>
  <si>
    <t xml:space="preserve">-KE3 LAN1</t>
  </si>
  <si>
    <t xml:space="preserve">-KE4 IN</t>
  </si>
  <si>
    <t xml:space="preserve">Circuit diagram data names the port enp2s0 (open question 10)</t>
  </si>
  <si>
    <t xml:space="preserve">-WG8</t>
  </si>
  <si>
    <t xml:space="preserve">-KE4 OUT</t>
  </si>
  <si>
    <t xml:space="preserve">-WG9</t>
  </si>
  <si>
    <t xml:space="preserve">Ethernet cable (scanner data)</t>
  </si>
  <si>
    <t xml:space="preserve">M12 / RJ45</t>
  </si>
  <si>
    <t xml:space="preserve">-KE3 LAN2</t>
  </si>
  <si>
    <t xml:space="preserve">11, 41</t>
  </si>
  <si>
    <t xml:space="preserve">Circuit diagram data names the port enp1s0; alpha-setup.md says enp3s0 (open question 10)</t>
  </si>
  <si>
    <t xml:space="preserve">-WG10</t>
  </si>
  <si>
    <t xml:space="preserve">Pendant cable</t>
  </si>
  <si>
    <t xml:space="preserve">«5 cores»</t>
  </si>
  <si>
    <t xml:space="preserve">-KE4:DI03–DI06, 1N24</t>
  </si>
  <si>
    <t xml:space="preserve">Open questions found while building this list</t>
  </si>
  <si>
    <t xml:space="preserve">Close each one, then update the affected rows.</t>
  </si>
  <si>
    <t xml:space="preserve">No.</t>
  </si>
  <si>
    <t xml:space="preserve">Topic</t>
  </si>
  <si>
    <t xml:space="preserve">Question</t>
  </si>
  <si>
    <t xml:space="preserve">Affects</t>
  </si>
  <si>
    <t xml:space="preserve">Why it matters</t>
  </si>
  <si>
    <t xml:space="preserve">Safety controller supply</t>
  </si>
  <si>
    <t xml:space="preserve">SICK requires the supply of the FX3-CPU0 main unit to be current-limited to 4 A max., by the power supply or a fuse (S7). -KE1 is fed from 1P24 behind -FC3 (10 A); -TA3 delivers 6.3 A. Page 43 shows no 4 A fuse. Add one, or show where the limit is.</t>
  </si>
  <si>
    <t xml:space="preserve">-KE1, -KE2, -TA3, -FC3</t>
  </si>
  <si>
    <t xml:space="preserve">Condition of use of a safety component</t>
  </si>
  <si>
    <t xml:space="preserve">Open</t>
  </si>
  <si>
    <t xml:space="preserve">nanoScan3 variant</t>
  </si>
  <si>
    <t xml:space="preserve">Read the type label and system plug of -BG1. The list assumes a Core I/O (1 OSSD pair, Ethernet data); the range variant is unknown.</t>
  </si>
  <si>
    <t xml:space="preserve">Safety data and certificate depend on the variant</t>
  </si>
  <si>
    <t xml:space="preserve">Scanner response time</t>
  </si>
  <si>
    <t xml:space="preserve">The data sheet gives 70 ms (basic, NANS3-AAAZ30AN1); the operation manual states 130 ms. Take the configured value from the Safety Designer report.</t>
  </si>
  <si>
    <t xml:space="preserve">Protective field sizing and stopping distance</t>
  </si>
  <si>
    <t xml:space="preserve">Driver PFHd</t>
  </si>
  <si>
    <t xml:space="preserve">PFHd 2.90 × 10⁻⁷ per driver is in the manual draft but not on the TÜV certificate on file. Get Oriental Motor's functional safety data (PFHd, mission time, conditions of use).</t>
  </si>
  <si>
    <t xml:space="preserve">-TA1, -TA2</t>
  </si>
  <si>
    <t xml:space="preserve">SISTEMA input for SF1, SF2</t>
  </si>
  <si>
    <t xml:space="preserve">Command devices</t>
  </si>
  <si>
    <t xml:space="preserve">Maker, type and B10d of the E-stop, RESET and MANUAL/AUTO selector. The manual's B10d 50 000 for the E-stop has no maker source.</t>
  </si>
  <si>
    <t xml:space="preserve">-SJ1, -SJ3, -SJ4</t>
  </si>
  <si>
    <t xml:space="preserve">SISTEMA input for SF1, SF4, SF5</t>
  </si>
  <si>
    <t xml:space="preserve">CAN far-end termination</t>
  </si>
  <si>
    <t xml:space="preserve">Which device terminates the far bus end? The MLSE type code shows whether an internal terminator is fitted (distributor listings: "…A2N…" = none [verify]); the drivers and the BMS may have one too. Check: H–L resistance with power off = 60 Ω (S17).</t>
  </si>
  <si>
    <t xml:space="preserve">-RA1, -BG3, -TA2, -GB1</t>
  </si>
  <si>
    <t xml:space="preserve">Bus reliability</t>
  </si>
  <si>
    <t xml:space="preserve">BMS on CAN</t>
  </si>
  <si>
    <t xml:space="preserve">Page 51 draws the BMS on the CAN bus, but the as-built node list (S3) has only nodes 1, 2 and 10. Is the BMS connected and read?</t>
  </si>
  <si>
    <t xml:space="preserve">-GB1, -WG5</t>
  </si>
  <si>
    <t xml:space="preserve">Circuit diagram accuracy</t>
  </si>
  <si>
    <t xml:space="preserve">CAN ground and the floating 48 V system</t>
  </si>
  <si>
    <t xml:space="preserve">CAN GND (-WG3, -WG4) joins the drivers' CAN ground to -TF1 and the IPC. Unless the driver CAN port or -TF1 is isolated, 1N48 may be joined to 1N12 / 1N24, contrary to the diagram note "48 V floating". Check the BLVD-KRD and CANable 2.0 data.</t>
  </si>
  <si>
    <t xml:space="preserve">-TA1, -TA2, -TF1, -KE3</t>
  </si>
  <si>
    <t xml:space="preserve">Isolation claim on pages 10 and 20</t>
  </si>
  <si>
    <t xml:space="preserve">Battery</t>
  </si>
  <si>
    <t xml:space="preserve">Maker, type, chemistry, capacity. Is a main fuse fitted inside the pack? EN 1175:2025 battery requirements to be checked.</t>
  </si>
  <si>
    <t xml:space="preserve">EN 1175 compliance</t>
  </si>
  <si>
    <t xml:space="preserve">IPC port names</t>
  </si>
  <si>
    <t xml:space="preserve">alpha-setup.md (as built): LAN1 = enp2s0 → I/O module and RFID; LAN2 = enp3s0 → scanner. Circuit diagram data: enp1s0 → scanner. Confirm on the vehicle.</t>
  </si>
  <si>
    <t xml:space="preserve">-KE3, -WG7, -WG9</t>
  </si>
  <si>
    <t xml:space="preserve">Radio equipment</t>
  </si>
  <si>
    <t xml:space="preserve">The RFID reader is set to the US band (902.75–927.25 MHz); Indonesia allows 920–923 MHz. Type approval (SDPPI) for the RFID reader and the Wi-Fi card.</t>
  </si>
  <si>
    <t xml:space="preserve">-BG4, -KE3</t>
  </si>
  <si>
    <t xml:space="preserve">Legal use in Indonesia</t>
  </si>
  <si>
    <t xml:space="preserve">Converter types</t>
  </si>
  <si>
    <t xml:space="preserve">-TA3 is marked "?SD-150C-24" in the repo; -TA4 type unknown. Read the labels.</t>
  </si>
  <si>
    <t xml:space="preserve">-TA3, -TA4</t>
  </si>
  <si>
    <t xml:space="preserve">Unknown makers and types</t>
  </si>
  <si>
    <t xml:space="preserve">Breakers, push-buttons, display, horn, fans, CK-EC5163 maker, cables marked «MAKER».</t>
  </si>
  <si>
    <t xml:space="preserve">see «» cells</t>
  </si>
  <si>
    <t xml:space="preserve">Completeness</t>
  </si>
  <si>
    <t xml:space="preserve">Motor brake</t>
  </si>
  <si>
    <t xml:space="preserve">Does the holding brake count in a safety function (stop and hold)?</t>
  </si>
  <si>
    <t xml:space="preserve">-MA1, -MA2</t>
  </si>
  <si>
    <t xml:space="preserve">Risk assessment</t>
  </si>
  <si>
    <t xml:space="preserve">Mechanical</t>
  </si>
  <si>
    <t xml:space="preserve">Gearhead type code, castors, hitch type and securing device.</t>
  </si>
  <si>
    <t xml:space="preserve">sheet Mechanical</t>
  </si>
  <si>
    <t xml:space="preserve">Proposed tags</t>
  </si>
  <si>
    <t xml:space="preserve">Draw -XD1 (charging socket) and -RA1 (CAN terminator, if discrete) on the circuit diagrams, and the -QA1 lock-out device, -KE1 and -BG1 system plugs in the parts list (page 80).</t>
  </si>
  <si>
    <t xml:space="preserve">-XD1, -RA1</t>
  </si>
  <si>
    <t xml:space="preserve">List and diagrams must match</t>
  </si>
  <si>
    <t xml:space="preserve">Repository paths are relative to the gvievo-01 repository root.</t>
  </si>
  <si>
    <t xml:space="preserve">ID</t>
  </si>
  <si>
    <t xml:space="preserve">What it gives</t>
  </si>
  <si>
    <t xml:space="preserve">Where</t>
  </si>
  <si>
    <t xml:space="preserve">Circuit diagram data, Rev. A draft (devices, cables, safety I/O)</t>
  </si>
  <si>
    <t xml:space="preserve">documentation/electrical/01-schematic-iec/data/project.js; pages 43, 51</t>
  </si>
  <si>
    <t xml:space="preserve">Designation map: JIS names → IEC 81346 tags</t>
  </si>
  <si>
    <t xml:space="preserve">documentation/electrical/01-schematic-iec/designation-map.md</t>
  </si>
  <si>
    <t xml:space="preserve">As-built vehicle set-up guide (unit 1, 2026-09-21): IPC, CANable, RFID reader, network, CAN nodes</t>
  </si>
  <si>
    <t xml:space="preserve">alpha-setup.md</t>
  </si>
  <si>
    <t xml:space="preserve">S4</t>
  </si>
  <si>
    <t xml:space="preserve">TÜV SÜD certificate Z10 106467 0002 Rev. 00, BLV Series R Type driver, STO</t>
  </si>
  <si>
    <t xml:space="preserve">manuals/certifications-compliance/TUVSUD_Z10_106467_0002.pdf</t>
  </si>
  <si>
    <t xml:space="preserve">S5</t>
  </si>
  <si>
    <t xml:space="preserve">Oriental Motor declaration DoC-9205 (2025-04-01); appendix lists BLVD-KRD with BLMR6400SKM-GFV-B</t>
  </si>
  <si>
    <t xml:space="preserve">manuals/certifications-compliance/DoC-9205.pdf</t>
  </si>
  <si>
    <t xml:space="preserve">S6</t>
  </si>
  <si>
    <t xml:space="preserve">UL certificates UL-CA-2122856-0 (BLVD-KRD) and UL-CA-2150278-0 (BLMR6400SKM…), to CSA C22.2 No. 62368-1</t>
  </si>
  <si>
    <t xml:space="preserve">manuals/certifications-compliance/UL_E208200X4A6005.pdf, UL_E208200X5A6008.pdf</t>
  </si>
  <si>
    <t xml:space="preserve">SICK data sheet FX3-CPU000000, dated 2024-11-27 (third-party copy; official page sick.com/1043783)</t>
  </si>
  <si>
    <t xml:space="preserve">https://www.motionworld.com/assets/SICK-FX3_CPU000000-Datasheet.pdf</t>
  </si>
  <si>
    <t xml:space="preserve">SICK data sheet FX3-XTIO84002, dated 2026-10-29</t>
  </si>
  <si>
    <t xml:space="preserve">https://www.sick.com/media/pdf/0/80/480/dataSheet_FX3-XTIO84002_1044125_en.pdf</t>
  </si>
  <si>
    <t xml:space="preserve">SICK data sheet NANS3-AAAZ30AN1 (nanoScan3 Core I/O), dated 2026-10-23</t>
  </si>
  <si>
    <t xml:space="preserve">https://www.sick.com/media/pdf/9/79/979/dataSheet_NANS3-AAAZ30AN1_1100333_en.pdf</t>
  </si>
  <si>
    <t xml:space="preserve">Operation manual draft (2026-10-31): safety components, technical data 16.1, hitch 4.6, charging 12</t>
  </si>
  <si>
    <t xml:space="preserve">documentation/operation-manual/operation-manual-doc.md</t>
  </si>
  <si>
    <t xml:space="preserve">S11</t>
  </si>
  <si>
    <t xml:space="preserve">IMU inside the MLS; MLSE-0200 sensor</t>
  </si>
  <si>
    <t xml:space="preserve">agv_core/drivers/canbus/read_imu.py; manuals/mls-marker-plan.md</t>
  </si>
  <si>
    <t xml:space="preserve">S12</t>
  </si>
  <si>
    <t xml:space="preserve">Oriental Motor catalogue: BLVD-KRD (24–48 V DC, CANopen); BLV-R gearhead combinations</t>
  </si>
  <si>
    <t xml:space="preserve">https://catalog.orientalmotor.com/cs/compare/op-online-components-brushless-dc-motor-components/blvd-krd-brushless-dc-motor-driver</t>
  </si>
  <si>
    <t xml:space="preserve">S13</t>
  </si>
  <si>
    <t xml:space="preserve">Mean Well SD-150C-24 distributor data (36–72 V in, 24 V 6.3 A, 1.5 kV isolation)</t>
  </si>
  <si>
    <t xml:space="preserve">https://uk.rs-online.com/web/p/isolated-dc-dc-converters/6783596</t>
  </si>
  <si>
    <t xml:space="preserve">S14</t>
  </si>
  <si>
    <t xml:space="preserve">NEXCOM Neu-X102-N97: RS-485 reference and distributor data (12 V DC input, −5 to +50 °C)</t>
  </si>
  <si>
    <t xml:space="preserve">manuals/Neu-X102-N97_RS485_interface.md; https://ipc2u.com/catalog/neu-x102-n97/</t>
  </si>
  <si>
    <t xml:space="preserve">S15</t>
  </si>
  <si>
    <t xml:space="preserve">SICK MLSE-0200 variants, distributor listing (MLSE-0200A2NP0: no internal terminator)</t>
  </si>
  <si>
    <t xml:space="preserve">https://www.motionworld.com/products/222917</t>
  </si>
  <si>
    <t xml:space="preserve">S16</t>
  </si>
  <si>
    <t xml:space="preserve">CANable 2.0 description (switchable on-board termination)</t>
  </si>
  <si>
    <t xml:space="preserve">https://www.open-electronics.org/?p=24101</t>
  </si>
  <si>
    <t xml:space="preserve">S17</t>
  </si>
  <si>
    <t xml:space="preserve">CAN bus check: two 120 Ω terminators at the physical ends (60 Ω across H–L)</t>
  </si>
  <si>
    <t xml:space="preserve">agv_core/drivers/canbus/verify_bus.py</t>
  </si>
  <si>
    <t xml:space="preserve">Scanner position (0.964 m ahead of the axle, 0.110 m above the floor)</t>
  </si>
  <si>
    <t xml:space="preserve">amr_ws/src/amr_description/launch/description.launch.py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</si>
</sst>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D4" s="5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  <c r="D5" s="6" t="s">
        <v>7</v>
      </c>
      <c r="E5" s="4" t="s">
        <v>8</v>
      </c>
    </row>
    <row r="6" customFormat="false" ht="24" hidden="false" customHeight="false" outlineLevel="0" collapsed="false">
      <c r="A6" s="3" t="s">
        <v>9</v>
      </c>
      <c r="B6" s="4" t="s">
        <v>10</v>
      </c>
      <c r="D6" s="7" t="s">
        <v>11</v>
      </c>
      <c r="E6" s="4" t="s">
        <v>12</v>
      </c>
    </row>
    <row r="7" customFormat="false" ht="24" hidden="false" customHeight="false" outlineLevel="0" collapsed="false">
      <c r="A7" s="3" t="s">
        <v>13</v>
      </c>
      <c r="B7" s="8" t="s">
        <v>14</v>
      </c>
      <c r="D7" s="9" t="s">
        <v>15</v>
      </c>
      <c r="E7" s="4" t="s">
        <v>16</v>
      </c>
    </row>
    <row r="8" customFormat="false" ht="15" hidden="false" customHeight="false" outlineLevel="0" collapsed="false">
      <c r="A8" s="3" t="s">
        <v>17</v>
      </c>
      <c r="B8" s="4" t="s">
        <v>18</v>
      </c>
      <c r="D8" s="10" t="s">
        <v>19</v>
      </c>
      <c r="E8" s="4" t="s">
        <v>20</v>
      </c>
    </row>
    <row r="9" customFormat="false" ht="24" hidden="false" customHeight="false" outlineLevel="0" collapsed="false">
      <c r="A9" s="3" t="s">
        <v>21</v>
      </c>
      <c r="B9" s="4" t="s">
        <v>22</v>
      </c>
      <c r="D9" s="11" t="s">
        <v>23</v>
      </c>
      <c r="E9" s="4" t="s">
        <v>24</v>
      </c>
    </row>
    <row r="10" customFormat="false" ht="24" hidden="false" customHeight="false" outlineLevel="0" collapsed="false">
      <c r="A10" s="3" t="s">
        <v>25</v>
      </c>
      <c r="B10" s="4" t="s">
        <v>26</v>
      </c>
      <c r="D10" s="11" t="s">
        <v>27</v>
      </c>
      <c r="E10" s="4" t="s">
        <v>28</v>
      </c>
    </row>
    <row r="11" customFormat="false" ht="24" hidden="false" customHeight="false" outlineLevel="0" collapsed="false">
      <c r="A11" s="3" t="s">
        <v>29</v>
      </c>
      <c r="B11" s="4" t="s">
        <v>30</v>
      </c>
      <c r="D11" s="11" t="s">
        <v>31</v>
      </c>
      <c r="E11" s="4" t="s">
        <v>32</v>
      </c>
    </row>
    <row r="12" customFormat="false" ht="24" hidden="false" customHeight="false" outlineLevel="0" collapsed="false">
      <c r="A12" s="3" t="s">
        <v>33</v>
      </c>
      <c r="B12" s="4" t="s">
        <v>34</v>
      </c>
      <c r="D12" s="11" t="s">
        <v>35</v>
      </c>
      <c r="E12" s="4" t="s">
        <v>36</v>
      </c>
    </row>
    <row r="13" customFormat="false" ht="15" hidden="false" customHeight="false" outlineLevel="0" collapsed="false">
      <c r="A13" s="3" t="s">
        <v>37</v>
      </c>
      <c r="B13" s="4" t="s">
        <v>38</v>
      </c>
    </row>
    <row r="14" customFormat="false" ht="15" hidden="false" customHeight="false" outlineLevel="0" collapsed="false">
      <c r="A14" s="3" t="s">
        <v>39</v>
      </c>
      <c r="B14" s="4" t="s">
        <v>40</v>
      </c>
    </row>
    <row r="15" customFormat="false" ht="24" hidden="false" customHeight="false" outlineLevel="0" collapsed="false">
      <c r="A15" s="3" t="s">
        <v>41</v>
      </c>
      <c r="B15" s="8" t="s">
        <v>42</v>
      </c>
    </row>
    <row r="16" customFormat="false" ht="35" hidden="false" customHeight="false" outlineLevel="0" collapsed="false">
      <c r="A16" s="3" t="s">
        <v>43</v>
      </c>
      <c r="B16" s="4" t="s">
        <v>44</v>
      </c>
    </row>
    <row r="17" customFormat="false" ht="46" hidden="false" customHeight="false" outlineLevel="0" collapsed="false">
      <c r="A17" s="3" t="s">
        <v>45</v>
      </c>
      <c r="B17" s="4" t="s">
        <v>46</v>
      </c>
    </row>
    <row r="19" customFormat="false" ht="15" hidden="false" customHeight="false" outlineLevel="0" collapsed="false">
      <c r="A19" s="5" t="s">
        <v>47</v>
      </c>
    </row>
    <row r="20" customFormat="false" ht="15" hidden="false" customHeight="false" outlineLevel="0" collapsed="false">
      <c r="A20" s="3" t="s">
        <v>48</v>
      </c>
      <c r="B20" s="12" t="n">
        <f aca="false">COUNTA(Devices!D5:D200)</f>
        <v>41</v>
      </c>
    </row>
    <row r="21" customFormat="false" ht="15" hidden="false" customHeight="false" outlineLevel="0" collapsed="false">
      <c r="A21" s="3" t="s">
        <v>49</v>
      </c>
      <c r="B21" s="12" t="n">
        <f aca="false">COUNTIF(Devices!M5:M200,"Y")</f>
        <v>10</v>
      </c>
    </row>
    <row r="22" customFormat="false" ht="24" hidden="false" customHeight="false" outlineLevel="0" collapsed="false">
      <c r="A22" s="3" t="s">
        <v>50</v>
      </c>
      <c r="B22" s="12" t="n">
        <f aca="false">COUNTIF(Devices!O5:O200,"PROPOSED*")</f>
        <v>5</v>
      </c>
    </row>
    <row r="23" customFormat="false" ht="15" hidden="false" customHeight="false" outlineLevel="0" collapsed="false">
      <c r="A23" s="3" t="s">
        <v>51</v>
      </c>
      <c r="B23" s="12" t="n">
        <f aca="false">SUMPRODUCT(--ISNUMBER(SEARCH("«",Devices!A5:Q200)))</f>
        <v>92</v>
      </c>
    </row>
    <row r="24" customFormat="false" ht="15" hidden="false" customHeight="false" outlineLevel="0" collapsed="false">
      <c r="A24" s="3" t="s">
        <v>52</v>
      </c>
      <c r="B24" s="12" t="n">
        <f aca="false">SUMPRODUCT(--ISNUMBER(SEARCH("«",'Safety data'!A5:P200)))</f>
        <v>22</v>
      </c>
    </row>
    <row r="25" customFormat="false" ht="15" hidden="false" customHeight="false" outlineLevel="0" collapsed="false">
      <c r="A25" s="3" t="s">
        <v>53</v>
      </c>
      <c r="B25" s="12" t="n">
        <f aca="false">COUNTA('Open questions'!B5:B200)</f>
        <v>16</v>
      </c>
    </row>
    <row r="27" customFormat="false" ht="15" hidden="false" customHeight="false" outlineLevel="0" collapsed="false">
      <c r="A27" s="5" t="s">
        <v>54</v>
      </c>
    </row>
    <row r="28" customFormat="false" ht="15" hidden="false" customHeight="false" outlineLevel="0" collapsed="false">
      <c r="A28" s="13" t="s">
        <v>17</v>
      </c>
      <c r="B28" s="13" t="s">
        <v>55</v>
      </c>
      <c r="D28" s="13" t="s">
        <v>21</v>
      </c>
      <c r="E28" s="13" t="s">
        <v>56</v>
      </c>
    </row>
    <row r="29" customFormat="false" ht="15" hidden="false" customHeight="false" outlineLevel="0" collapsed="false">
      <c r="A29" s="4" t="s">
        <v>18</v>
      </c>
      <c r="B29" s="4" t="s">
        <v>57</v>
      </c>
      <c r="D29" s="4" t="s">
        <v>22</v>
      </c>
      <c r="E29" s="4" t="s">
        <v>26</v>
      </c>
    </row>
  </sheetData>
  <printOptions headings="false" gridLines="false" gridLinesSet="true" horizontalCentered="false" verticalCentered="false"/>
  <pageMargins left="0.5" right="0.5" top="0.6" bottom="0.7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4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48"/>
  </cols>
  <sheetData>
    <row r="1" customFormat="false" ht="15" hidden="false" customHeight="false" outlineLevel="0" collapsed="false">
      <c r="A1" s="5" t="s">
        <v>58</v>
      </c>
    </row>
    <row r="2" customFormat="false" ht="15" hidden="false" customHeight="false" outlineLevel="0" collapsed="false">
      <c r="A2" s="2" t="s">
        <v>59</v>
      </c>
    </row>
    <row r="4" customFormat="false" ht="42" hidden="false" customHeight="true" outlineLevel="0" collapsed="false">
      <c r="A4" s="14" t="s">
        <v>60</v>
      </c>
      <c r="B4" s="14" t="s">
        <v>61</v>
      </c>
      <c r="C4" s="14" t="s">
        <v>62</v>
      </c>
      <c r="D4" s="14" t="s">
        <v>63</v>
      </c>
      <c r="E4" s="14" t="s">
        <v>64</v>
      </c>
      <c r="F4" s="14" t="s">
        <v>65</v>
      </c>
      <c r="G4" s="14" t="s">
        <v>66</v>
      </c>
      <c r="H4" s="14" t="s">
        <v>5</v>
      </c>
      <c r="I4" s="14" t="s">
        <v>67</v>
      </c>
      <c r="J4" s="14" t="s">
        <v>68</v>
      </c>
      <c r="K4" s="14" t="s">
        <v>69</v>
      </c>
      <c r="L4" s="14" t="s">
        <v>70</v>
      </c>
      <c r="M4" s="14" t="s">
        <v>31</v>
      </c>
      <c r="N4" s="14" t="s">
        <v>71</v>
      </c>
      <c r="O4" s="14" t="s">
        <v>37</v>
      </c>
      <c r="P4" s="14" t="s">
        <v>27</v>
      </c>
      <c r="Q4" s="14" t="s">
        <v>72</v>
      </c>
    </row>
    <row r="5" customFormat="false" ht="35" hidden="false" customHeight="false" outlineLevel="0" collapsed="false">
      <c r="A5" s="4" t="n">
        <v>1</v>
      </c>
      <c r="B5" s="4" t="s">
        <v>73</v>
      </c>
      <c r="C5" s="4" t="s">
        <v>74</v>
      </c>
      <c r="D5" s="4" t="s">
        <v>75</v>
      </c>
      <c r="E5" s="15" t="str">
        <f aca="false">IF(D5="","",C5&amp;D5)</f>
        <v>+BT-GB1</v>
      </c>
      <c r="F5" s="4" t="s">
        <v>76</v>
      </c>
      <c r="G5" s="4" t="s">
        <v>77</v>
      </c>
      <c r="H5" s="8" t="s">
        <v>78</v>
      </c>
      <c r="I5" s="8" t="s">
        <v>79</v>
      </c>
      <c r="J5" s="8" t="s">
        <v>80</v>
      </c>
      <c r="K5" s="8" t="s">
        <v>81</v>
      </c>
      <c r="L5" s="4" t="s">
        <v>82</v>
      </c>
      <c r="M5" s="4" t="s">
        <v>83</v>
      </c>
      <c r="N5" s="4"/>
      <c r="O5" s="4" t="s">
        <v>84</v>
      </c>
      <c r="P5" s="4" t="s">
        <v>85</v>
      </c>
      <c r="Q5" s="16" t="s">
        <v>86</v>
      </c>
    </row>
    <row r="6" customFormat="false" ht="24" hidden="false" customHeight="false" outlineLevel="0" collapsed="false">
      <c r="A6" s="4" t="n">
        <v>2</v>
      </c>
      <c r="B6" s="4" t="s">
        <v>73</v>
      </c>
      <c r="C6" s="4" t="s">
        <v>87</v>
      </c>
      <c r="D6" s="4" t="s">
        <v>88</v>
      </c>
      <c r="E6" s="15" t="str">
        <f aca="false">IF(D6="","",C6&amp;D6)</f>
        <v>+EB-QA1</v>
      </c>
      <c r="F6" s="4" t="s">
        <v>89</v>
      </c>
      <c r="G6" s="4" t="s">
        <v>90</v>
      </c>
      <c r="H6" s="8" t="s">
        <v>78</v>
      </c>
      <c r="I6" s="8" t="s">
        <v>79</v>
      </c>
      <c r="J6" s="8" t="s">
        <v>80</v>
      </c>
      <c r="K6" s="8" t="s">
        <v>91</v>
      </c>
      <c r="L6" s="4" t="s">
        <v>92</v>
      </c>
      <c r="M6" s="4" t="s">
        <v>83</v>
      </c>
      <c r="N6" s="4"/>
      <c r="O6" s="4" t="s">
        <v>84</v>
      </c>
      <c r="P6" s="4" t="s">
        <v>93</v>
      </c>
      <c r="Q6" s="4" t="s">
        <v>94</v>
      </c>
    </row>
    <row r="7" customFormat="false" ht="35" hidden="false" customHeight="false" outlineLevel="0" collapsed="false">
      <c r="A7" s="4" t="n">
        <v>3</v>
      </c>
      <c r="B7" s="4" t="s">
        <v>73</v>
      </c>
      <c r="C7" s="4" t="s">
        <v>87</v>
      </c>
      <c r="D7" s="4" t="s">
        <v>88</v>
      </c>
      <c r="E7" s="15" t="str">
        <f aca="false">IF(D7="","",C7&amp;D7)</f>
        <v>+EB-QA1</v>
      </c>
      <c r="F7" s="4"/>
      <c r="G7" s="4" t="s">
        <v>95</v>
      </c>
      <c r="H7" s="8" t="s">
        <v>78</v>
      </c>
      <c r="I7" s="8" t="s">
        <v>79</v>
      </c>
      <c r="J7" s="8" t="s">
        <v>80</v>
      </c>
      <c r="K7" s="4" t="s">
        <v>96</v>
      </c>
      <c r="L7" s="4" t="s">
        <v>97</v>
      </c>
      <c r="M7" s="4" t="s">
        <v>83</v>
      </c>
      <c r="N7" s="4"/>
      <c r="O7" s="17" t="s">
        <v>98</v>
      </c>
      <c r="P7" s="4" t="s">
        <v>99</v>
      </c>
      <c r="Q7" s="16" t="s">
        <v>100</v>
      </c>
    </row>
    <row r="8" customFormat="false" ht="24" hidden="false" customHeight="false" outlineLevel="0" collapsed="false">
      <c r="A8" s="4" t="n">
        <v>4</v>
      </c>
      <c r="B8" s="4" t="s">
        <v>73</v>
      </c>
      <c r="C8" s="4" t="s">
        <v>87</v>
      </c>
      <c r="D8" s="4" t="s">
        <v>101</v>
      </c>
      <c r="E8" s="15" t="str">
        <f aca="false">IF(D8="","",C8&amp;D8)</f>
        <v>+EB-FC1</v>
      </c>
      <c r="F8" s="4" t="s">
        <v>102</v>
      </c>
      <c r="G8" s="4" t="s">
        <v>103</v>
      </c>
      <c r="H8" s="8" t="s">
        <v>78</v>
      </c>
      <c r="I8" s="8" t="s">
        <v>79</v>
      </c>
      <c r="J8" s="8" t="s">
        <v>80</v>
      </c>
      <c r="K8" s="4" t="s">
        <v>104</v>
      </c>
      <c r="L8" s="4" t="s">
        <v>92</v>
      </c>
      <c r="M8" s="4" t="s">
        <v>83</v>
      </c>
      <c r="N8" s="4"/>
      <c r="O8" s="4" t="s">
        <v>84</v>
      </c>
      <c r="P8" s="4" t="s">
        <v>93</v>
      </c>
      <c r="Q8" s="4"/>
    </row>
    <row r="9" customFormat="false" ht="24" hidden="false" customHeight="false" outlineLevel="0" collapsed="false">
      <c r="A9" s="4" t="n">
        <v>5</v>
      </c>
      <c r="B9" s="4" t="s">
        <v>73</v>
      </c>
      <c r="C9" s="4" t="s">
        <v>87</v>
      </c>
      <c r="D9" s="4" t="s">
        <v>105</v>
      </c>
      <c r="E9" s="15" t="str">
        <f aca="false">IF(D9="","",C9&amp;D9)</f>
        <v>+EB-FC2</v>
      </c>
      <c r="F9" s="4" t="s">
        <v>106</v>
      </c>
      <c r="G9" s="4" t="s">
        <v>107</v>
      </c>
      <c r="H9" s="8" t="s">
        <v>78</v>
      </c>
      <c r="I9" s="8" t="s">
        <v>79</v>
      </c>
      <c r="J9" s="8" t="s">
        <v>80</v>
      </c>
      <c r="K9" s="4" t="s">
        <v>104</v>
      </c>
      <c r="L9" s="4" t="s">
        <v>92</v>
      </c>
      <c r="M9" s="4" t="s">
        <v>83</v>
      </c>
      <c r="N9" s="4"/>
      <c r="O9" s="4" t="s">
        <v>84</v>
      </c>
      <c r="P9" s="4" t="s">
        <v>93</v>
      </c>
      <c r="Q9" s="4"/>
    </row>
    <row r="10" customFormat="false" ht="24" hidden="false" customHeight="false" outlineLevel="0" collapsed="false">
      <c r="A10" s="4" t="n">
        <v>6</v>
      </c>
      <c r="B10" s="4" t="s">
        <v>73</v>
      </c>
      <c r="C10" s="4" t="s">
        <v>87</v>
      </c>
      <c r="D10" s="4" t="s">
        <v>108</v>
      </c>
      <c r="E10" s="15" t="str">
        <f aca="false">IF(D10="","",C10&amp;D10)</f>
        <v>+EB-FC3</v>
      </c>
      <c r="F10" s="4" t="s">
        <v>109</v>
      </c>
      <c r="G10" s="4" t="s">
        <v>110</v>
      </c>
      <c r="H10" s="8" t="s">
        <v>78</v>
      </c>
      <c r="I10" s="8" t="s">
        <v>79</v>
      </c>
      <c r="J10" s="8" t="s">
        <v>80</v>
      </c>
      <c r="K10" s="4" t="s">
        <v>111</v>
      </c>
      <c r="L10" s="4" t="s">
        <v>112</v>
      </c>
      <c r="M10" s="4" t="s">
        <v>83</v>
      </c>
      <c r="N10" s="4"/>
      <c r="O10" s="4" t="s">
        <v>84</v>
      </c>
      <c r="P10" s="4" t="s">
        <v>93</v>
      </c>
      <c r="Q10" s="4" t="s">
        <v>113</v>
      </c>
    </row>
    <row r="11" customFormat="false" ht="15" hidden="false" customHeight="false" outlineLevel="0" collapsed="false">
      <c r="A11" s="4" t="n">
        <v>7</v>
      </c>
      <c r="B11" s="4" t="s">
        <v>73</v>
      </c>
      <c r="C11" s="4" t="s">
        <v>87</v>
      </c>
      <c r="D11" s="4" t="s">
        <v>114</v>
      </c>
      <c r="E11" s="15" t="str">
        <f aca="false">IF(D11="","",C11&amp;D11)</f>
        <v>+EB-FC4</v>
      </c>
      <c r="F11" s="4" t="s">
        <v>115</v>
      </c>
      <c r="G11" s="4" t="s">
        <v>116</v>
      </c>
      <c r="H11" s="8" t="s">
        <v>78</v>
      </c>
      <c r="I11" s="8" t="s">
        <v>79</v>
      </c>
      <c r="J11" s="8" t="s">
        <v>80</v>
      </c>
      <c r="K11" s="4" t="s">
        <v>111</v>
      </c>
      <c r="L11" s="4" t="s">
        <v>117</v>
      </c>
      <c r="M11" s="4" t="s">
        <v>83</v>
      </c>
      <c r="N11" s="4"/>
      <c r="O11" s="4" t="s">
        <v>84</v>
      </c>
      <c r="P11" s="4" t="s">
        <v>93</v>
      </c>
      <c r="Q11" s="4"/>
    </row>
    <row r="12" customFormat="false" ht="24" hidden="false" customHeight="false" outlineLevel="0" collapsed="false">
      <c r="A12" s="4" t="n">
        <v>8</v>
      </c>
      <c r="B12" s="4" t="s">
        <v>73</v>
      </c>
      <c r="C12" s="4" t="s">
        <v>87</v>
      </c>
      <c r="D12" s="4" t="s">
        <v>118</v>
      </c>
      <c r="E12" s="15" t="str">
        <f aca="false">IF(D12="","",C12&amp;D12)</f>
        <v>+EB-TA3</v>
      </c>
      <c r="F12" s="4" t="s">
        <v>119</v>
      </c>
      <c r="G12" s="4" t="s">
        <v>120</v>
      </c>
      <c r="H12" s="4" t="s">
        <v>121</v>
      </c>
      <c r="I12" s="16" t="s">
        <v>122</v>
      </c>
      <c r="J12" s="4" t="s">
        <v>123</v>
      </c>
      <c r="K12" s="4" t="s">
        <v>124</v>
      </c>
      <c r="L12" s="4" t="s">
        <v>125</v>
      </c>
      <c r="M12" s="4" t="s">
        <v>83</v>
      </c>
      <c r="N12" s="4"/>
      <c r="O12" s="4" t="s">
        <v>84</v>
      </c>
      <c r="P12" s="4" t="s">
        <v>126</v>
      </c>
      <c r="Q12" s="4" t="s">
        <v>127</v>
      </c>
    </row>
    <row r="13" customFormat="false" ht="15" hidden="false" customHeight="false" outlineLevel="0" collapsed="false">
      <c r="A13" s="4" t="n">
        <v>9</v>
      </c>
      <c r="B13" s="4" t="s">
        <v>73</v>
      </c>
      <c r="C13" s="4" t="s">
        <v>87</v>
      </c>
      <c r="D13" s="4" t="s">
        <v>128</v>
      </c>
      <c r="E13" s="15" t="str">
        <f aca="false">IF(D13="","",C13&amp;D13)</f>
        <v>+EB-TA4</v>
      </c>
      <c r="F13" s="4" t="s">
        <v>129</v>
      </c>
      <c r="G13" s="4" t="s">
        <v>130</v>
      </c>
      <c r="H13" s="4" t="s">
        <v>121</v>
      </c>
      <c r="I13" s="8" t="s">
        <v>79</v>
      </c>
      <c r="J13" s="8" t="s">
        <v>80</v>
      </c>
      <c r="K13" s="4" t="s">
        <v>131</v>
      </c>
      <c r="L13" s="4" t="s">
        <v>132</v>
      </c>
      <c r="M13" s="4" t="s">
        <v>83</v>
      </c>
      <c r="N13" s="4"/>
      <c r="O13" s="4" t="s">
        <v>84</v>
      </c>
      <c r="P13" s="4" t="s">
        <v>133</v>
      </c>
      <c r="Q13" s="4"/>
    </row>
    <row r="14" customFormat="false" ht="35" hidden="false" customHeight="false" outlineLevel="0" collapsed="false">
      <c r="A14" s="4" t="n">
        <v>10</v>
      </c>
      <c r="B14" s="4" t="s">
        <v>134</v>
      </c>
      <c r="C14" s="4" t="s">
        <v>87</v>
      </c>
      <c r="D14" s="4" t="s">
        <v>135</v>
      </c>
      <c r="E14" s="15" t="str">
        <f aca="false">IF(D14="","",C14&amp;D14)</f>
        <v>+EB-TA1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123</v>
      </c>
      <c r="K14" s="4" t="s">
        <v>140</v>
      </c>
      <c r="L14" s="4" t="s">
        <v>141</v>
      </c>
      <c r="M14" s="4" t="s">
        <v>142</v>
      </c>
      <c r="N14" s="4" t="s">
        <v>143</v>
      </c>
      <c r="O14" s="4" t="s">
        <v>84</v>
      </c>
      <c r="P14" s="4" t="s">
        <v>144</v>
      </c>
      <c r="Q14" s="4" t="s">
        <v>145</v>
      </c>
    </row>
    <row r="15" customFormat="false" ht="35" hidden="false" customHeight="false" outlineLevel="0" collapsed="false">
      <c r="A15" s="4" t="n">
        <v>11</v>
      </c>
      <c r="B15" s="4" t="s">
        <v>134</v>
      </c>
      <c r="C15" s="4" t="s">
        <v>87</v>
      </c>
      <c r="D15" s="4" t="s">
        <v>146</v>
      </c>
      <c r="E15" s="15" t="str">
        <f aca="false">IF(D15="","",C15&amp;D15)</f>
        <v>+EB-TA2</v>
      </c>
      <c r="F15" s="4" t="s">
        <v>147</v>
      </c>
      <c r="G15" s="4" t="s">
        <v>148</v>
      </c>
      <c r="H15" s="4" t="s">
        <v>138</v>
      </c>
      <c r="I15" s="4" t="s">
        <v>139</v>
      </c>
      <c r="J15" s="4" t="s">
        <v>123</v>
      </c>
      <c r="K15" s="4" t="s">
        <v>140</v>
      </c>
      <c r="L15" s="4" t="s">
        <v>141</v>
      </c>
      <c r="M15" s="4" t="s">
        <v>142</v>
      </c>
      <c r="N15" s="4" t="s">
        <v>143</v>
      </c>
      <c r="O15" s="4" t="s">
        <v>84</v>
      </c>
      <c r="P15" s="4" t="s">
        <v>144</v>
      </c>
      <c r="Q15" s="4" t="s">
        <v>149</v>
      </c>
    </row>
    <row r="16" customFormat="false" ht="24" hidden="false" customHeight="false" outlineLevel="0" collapsed="false">
      <c r="A16" s="4" t="n">
        <v>12</v>
      </c>
      <c r="B16" s="4" t="s">
        <v>134</v>
      </c>
      <c r="C16" s="4" t="s">
        <v>150</v>
      </c>
      <c r="D16" s="4" t="s">
        <v>151</v>
      </c>
      <c r="E16" s="15" t="str">
        <f aca="false">IF(D16="","",C16&amp;D16)</f>
        <v>+VH-MA1</v>
      </c>
      <c r="F16" s="4" t="s">
        <v>152</v>
      </c>
      <c r="G16" s="4" t="s">
        <v>153</v>
      </c>
      <c r="H16" s="4" t="s">
        <v>138</v>
      </c>
      <c r="I16" s="4" t="s">
        <v>154</v>
      </c>
      <c r="J16" s="4" t="s">
        <v>123</v>
      </c>
      <c r="K16" s="4" t="s">
        <v>155</v>
      </c>
      <c r="L16" s="4" t="s">
        <v>156</v>
      </c>
      <c r="M16" s="16" t="s">
        <v>157</v>
      </c>
      <c r="N16" s="4"/>
      <c r="O16" s="4" t="s">
        <v>84</v>
      </c>
      <c r="P16" s="4" t="s">
        <v>158</v>
      </c>
      <c r="Q16" s="4" t="s">
        <v>159</v>
      </c>
    </row>
    <row r="17" customFormat="false" ht="24" hidden="false" customHeight="false" outlineLevel="0" collapsed="false">
      <c r="A17" s="4" t="n">
        <v>13</v>
      </c>
      <c r="B17" s="4" t="s">
        <v>134</v>
      </c>
      <c r="C17" s="4" t="s">
        <v>150</v>
      </c>
      <c r="D17" s="4" t="s">
        <v>160</v>
      </c>
      <c r="E17" s="15" t="str">
        <f aca="false">IF(D17="","",C17&amp;D17)</f>
        <v>+VH-MA2</v>
      </c>
      <c r="F17" s="4" t="s">
        <v>161</v>
      </c>
      <c r="G17" s="4" t="s">
        <v>162</v>
      </c>
      <c r="H17" s="4" t="s">
        <v>138</v>
      </c>
      <c r="I17" s="4" t="s">
        <v>154</v>
      </c>
      <c r="J17" s="4" t="s">
        <v>123</v>
      </c>
      <c r="K17" s="4" t="s">
        <v>163</v>
      </c>
      <c r="L17" s="4" t="s">
        <v>156</v>
      </c>
      <c r="M17" s="16" t="s">
        <v>157</v>
      </c>
      <c r="N17" s="4"/>
      <c r="O17" s="4" t="s">
        <v>84</v>
      </c>
      <c r="P17" s="4" t="s">
        <v>158</v>
      </c>
      <c r="Q17" s="4" t="s">
        <v>164</v>
      </c>
    </row>
    <row r="18" customFormat="false" ht="24" hidden="false" customHeight="false" outlineLevel="0" collapsed="false">
      <c r="A18" s="4" t="n">
        <v>14</v>
      </c>
      <c r="B18" s="4" t="s">
        <v>165</v>
      </c>
      <c r="C18" s="4" t="s">
        <v>87</v>
      </c>
      <c r="D18" s="4" t="s">
        <v>166</v>
      </c>
      <c r="E18" s="15" t="str">
        <f aca="false">IF(D18="","",C18&amp;D18)</f>
        <v>+EB-KE1</v>
      </c>
      <c r="F18" s="4" t="s">
        <v>167</v>
      </c>
      <c r="G18" s="4" t="s">
        <v>168</v>
      </c>
      <c r="H18" s="4" t="s">
        <v>169</v>
      </c>
      <c r="I18" s="4" t="s">
        <v>170</v>
      </c>
      <c r="J18" s="4" t="s">
        <v>171</v>
      </c>
      <c r="K18" s="4" t="s">
        <v>172</v>
      </c>
      <c r="L18" s="4" t="s">
        <v>173</v>
      </c>
      <c r="M18" s="4" t="s">
        <v>142</v>
      </c>
      <c r="N18" s="4" t="s">
        <v>174</v>
      </c>
      <c r="O18" s="4" t="s">
        <v>84</v>
      </c>
      <c r="P18" s="4" t="s">
        <v>175</v>
      </c>
      <c r="Q18" s="4" t="s">
        <v>176</v>
      </c>
    </row>
    <row r="19" customFormat="false" ht="35" hidden="false" customHeight="false" outlineLevel="0" collapsed="false">
      <c r="A19" s="4" t="n">
        <v>15</v>
      </c>
      <c r="B19" s="4" t="s">
        <v>165</v>
      </c>
      <c r="C19" s="4" t="s">
        <v>87</v>
      </c>
      <c r="D19" s="4" t="s">
        <v>166</v>
      </c>
      <c r="E19" s="15" t="str">
        <f aca="false">IF(D19="","",C19&amp;D19)</f>
        <v>+EB-KE1</v>
      </c>
      <c r="F19" s="4"/>
      <c r="G19" s="4" t="s">
        <v>177</v>
      </c>
      <c r="H19" s="4" t="s">
        <v>169</v>
      </c>
      <c r="I19" s="16" t="s">
        <v>178</v>
      </c>
      <c r="J19" s="4" t="s">
        <v>179</v>
      </c>
      <c r="K19" s="4" t="s">
        <v>97</v>
      </c>
      <c r="L19" s="4" t="s">
        <v>173</v>
      </c>
      <c r="M19" s="4" t="s">
        <v>142</v>
      </c>
      <c r="N19" s="4" t="s">
        <v>174</v>
      </c>
      <c r="O19" s="17" t="s">
        <v>98</v>
      </c>
      <c r="P19" s="4" t="s">
        <v>180</v>
      </c>
      <c r="Q19" s="4" t="s">
        <v>181</v>
      </c>
    </row>
    <row r="20" customFormat="false" ht="24" hidden="false" customHeight="false" outlineLevel="0" collapsed="false">
      <c r="A20" s="4" t="n">
        <v>16</v>
      </c>
      <c r="B20" s="4" t="s">
        <v>165</v>
      </c>
      <c r="C20" s="4" t="s">
        <v>87</v>
      </c>
      <c r="D20" s="4" t="s">
        <v>182</v>
      </c>
      <c r="E20" s="15" t="str">
        <f aca="false">IF(D20="","",C20&amp;D20)</f>
        <v>+EB-KE2</v>
      </c>
      <c r="F20" s="4" t="s">
        <v>183</v>
      </c>
      <c r="G20" s="4" t="s">
        <v>184</v>
      </c>
      <c r="H20" s="4" t="s">
        <v>169</v>
      </c>
      <c r="I20" s="4" t="s">
        <v>185</v>
      </c>
      <c r="J20" s="4" t="s">
        <v>186</v>
      </c>
      <c r="K20" s="4" t="s">
        <v>187</v>
      </c>
      <c r="L20" s="4" t="s">
        <v>188</v>
      </c>
      <c r="M20" s="4" t="s">
        <v>142</v>
      </c>
      <c r="N20" s="4" t="s">
        <v>174</v>
      </c>
      <c r="O20" s="4" t="s">
        <v>84</v>
      </c>
      <c r="P20" s="4" t="s">
        <v>189</v>
      </c>
      <c r="Q20" s="4" t="s">
        <v>190</v>
      </c>
    </row>
    <row r="21" customFormat="false" ht="24" hidden="false" customHeight="false" outlineLevel="0" collapsed="false">
      <c r="A21" s="4" t="n">
        <v>17</v>
      </c>
      <c r="B21" s="4" t="s">
        <v>165</v>
      </c>
      <c r="C21" s="4" t="s">
        <v>191</v>
      </c>
      <c r="D21" s="4" t="s">
        <v>192</v>
      </c>
      <c r="E21" s="15" t="str">
        <f aca="false">IF(D21="","",C21&amp;D21)</f>
        <v>+FR-SJ1</v>
      </c>
      <c r="F21" s="4" t="s">
        <v>193</v>
      </c>
      <c r="G21" s="4" t="s">
        <v>194</v>
      </c>
      <c r="H21" s="8" t="s">
        <v>78</v>
      </c>
      <c r="I21" s="8" t="s">
        <v>79</v>
      </c>
      <c r="J21" s="8" t="s">
        <v>80</v>
      </c>
      <c r="K21" s="16" t="s">
        <v>195</v>
      </c>
      <c r="L21" s="4" t="s">
        <v>196</v>
      </c>
      <c r="M21" s="4" t="s">
        <v>142</v>
      </c>
      <c r="N21" s="4" t="s">
        <v>197</v>
      </c>
      <c r="O21" s="4" t="s">
        <v>84</v>
      </c>
      <c r="P21" s="4" t="s">
        <v>93</v>
      </c>
      <c r="Q21" s="4" t="s">
        <v>198</v>
      </c>
    </row>
    <row r="22" customFormat="false" ht="24" hidden="false" customHeight="false" outlineLevel="0" collapsed="false">
      <c r="A22" s="4" t="n">
        <v>18</v>
      </c>
      <c r="B22" s="4" t="s">
        <v>165</v>
      </c>
      <c r="C22" s="4" t="s">
        <v>191</v>
      </c>
      <c r="D22" s="4" t="s">
        <v>199</v>
      </c>
      <c r="E22" s="15" t="str">
        <f aca="false">IF(D22="","",C22&amp;D22)</f>
        <v>+FR-SJ3</v>
      </c>
      <c r="F22" s="4" t="s">
        <v>200</v>
      </c>
      <c r="G22" s="4" t="s">
        <v>201</v>
      </c>
      <c r="H22" s="8" t="s">
        <v>78</v>
      </c>
      <c r="I22" s="8" t="s">
        <v>79</v>
      </c>
      <c r="J22" s="8" t="s">
        <v>80</v>
      </c>
      <c r="K22" s="4" t="s">
        <v>202</v>
      </c>
      <c r="L22" s="4" t="s">
        <v>203</v>
      </c>
      <c r="M22" s="4" t="s">
        <v>142</v>
      </c>
      <c r="N22" s="4" t="s">
        <v>204</v>
      </c>
      <c r="O22" s="4" t="s">
        <v>84</v>
      </c>
      <c r="P22" s="4" t="s">
        <v>93</v>
      </c>
      <c r="Q22" s="4"/>
    </row>
    <row r="23" customFormat="false" ht="24" hidden="false" customHeight="false" outlineLevel="0" collapsed="false">
      <c r="A23" s="4" t="n">
        <v>19</v>
      </c>
      <c r="B23" s="4" t="s">
        <v>165</v>
      </c>
      <c r="C23" s="4" t="s">
        <v>191</v>
      </c>
      <c r="D23" s="4" t="s">
        <v>205</v>
      </c>
      <c r="E23" s="15" t="str">
        <f aca="false">IF(D23="","",C23&amp;D23)</f>
        <v>+FR-SJ4</v>
      </c>
      <c r="F23" s="4" t="s">
        <v>206</v>
      </c>
      <c r="G23" s="4" t="s">
        <v>207</v>
      </c>
      <c r="H23" s="8" t="s">
        <v>78</v>
      </c>
      <c r="I23" s="8" t="s">
        <v>79</v>
      </c>
      <c r="J23" s="8" t="s">
        <v>80</v>
      </c>
      <c r="K23" s="4" t="s">
        <v>208</v>
      </c>
      <c r="L23" s="4" t="s">
        <v>203</v>
      </c>
      <c r="M23" s="4" t="s">
        <v>142</v>
      </c>
      <c r="N23" s="4" t="s">
        <v>209</v>
      </c>
      <c r="O23" s="4" t="s">
        <v>84</v>
      </c>
      <c r="P23" s="4" t="s">
        <v>93</v>
      </c>
      <c r="Q23" s="4" t="s">
        <v>210</v>
      </c>
    </row>
    <row r="24" customFormat="false" ht="35" hidden="false" customHeight="false" outlineLevel="0" collapsed="false">
      <c r="A24" s="4" t="n">
        <v>20</v>
      </c>
      <c r="B24" s="4" t="s">
        <v>165</v>
      </c>
      <c r="C24" s="4" t="s">
        <v>150</v>
      </c>
      <c r="D24" s="4" t="s">
        <v>211</v>
      </c>
      <c r="E24" s="15" t="str">
        <f aca="false">IF(D24="","",C24&amp;D24)</f>
        <v>+VH-BG1</v>
      </c>
      <c r="F24" s="4" t="s">
        <v>212</v>
      </c>
      <c r="G24" s="4" t="s">
        <v>213</v>
      </c>
      <c r="H24" s="4" t="s">
        <v>169</v>
      </c>
      <c r="I24" s="8" t="s">
        <v>214</v>
      </c>
      <c r="J24" s="8" t="s">
        <v>215</v>
      </c>
      <c r="K24" s="4" t="s">
        <v>216</v>
      </c>
      <c r="L24" s="4" t="s">
        <v>217</v>
      </c>
      <c r="M24" s="4" t="s">
        <v>142</v>
      </c>
      <c r="N24" s="4" t="s">
        <v>218</v>
      </c>
      <c r="O24" s="4" t="s">
        <v>84</v>
      </c>
      <c r="P24" s="4" t="s">
        <v>219</v>
      </c>
      <c r="Q24" s="4" t="s">
        <v>220</v>
      </c>
    </row>
    <row r="25" customFormat="false" ht="35" hidden="false" customHeight="false" outlineLevel="0" collapsed="false">
      <c r="A25" s="4" t="n">
        <v>21</v>
      </c>
      <c r="B25" s="4" t="s">
        <v>165</v>
      </c>
      <c r="C25" s="4" t="s">
        <v>150</v>
      </c>
      <c r="D25" s="4" t="s">
        <v>211</v>
      </c>
      <c r="E25" s="15" t="str">
        <f aca="false">IF(D25="","",C25&amp;D25)</f>
        <v>+VH-BG1</v>
      </c>
      <c r="F25" s="4"/>
      <c r="G25" s="4" t="s">
        <v>221</v>
      </c>
      <c r="H25" s="4" t="s">
        <v>169</v>
      </c>
      <c r="I25" s="8" t="s">
        <v>79</v>
      </c>
      <c r="J25" s="8" t="s">
        <v>80</v>
      </c>
      <c r="K25" s="4" t="s">
        <v>97</v>
      </c>
      <c r="L25" s="4" t="s">
        <v>222</v>
      </c>
      <c r="M25" s="4" t="s">
        <v>142</v>
      </c>
      <c r="N25" s="4" t="s">
        <v>218</v>
      </c>
      <c r="O25" s="17" t="s">
        <v>98</v>
      </c>
      <c r="P25" s="4" t="s">
        <v>223</v>
      </c>
      <c r="Q25" s="4" t="s">
        <v>224</v>
      </c>
    </row>
    <row r="26" customFormat="false" ht="24" hidden="false" customHeight="false" outlineLevel="0" collapsed="false">
      <c r="A26" s="4" t="n">
        <v>22</v>
      </c>
      <c r="B26" s="4" t="s">
        <v>225</v>
      </c>
      <c r="C26" s="4" t="s">
        <v>87</v>
      </c>
      <c r="D26" s="4" t="s">
        <v>226</v>
      </c>
      <c r="E26" s="15" t="str">
        <f aca="false">IF(D26="","",C26&amp;D26)</f>
        <v>+EB-KE3</v>
      </c>
      <c r="F26" s="4" t="s">
        <v>227</v>
      </c>
      <c r="G26" s="4" t="s">
        <v>228</v>
      </c>
      <c r="H26" s="4" t="s">
        <v>229</v>
      </c>
      <c r="I26" s="4" t="s">
        <v>230</v>
      </c>
      <c r="J26" s="8" t="s">
        <v>80</v>
      </c>
      <c r="K26" s="16" t="s">
        <v>231</v>
      </c>
      <c r="L26" s="4" t="s">
        <v>232</v>
      </c>
      <c r="M26" s="4" t="s">
        <v>83</v>
      </c>
      <c r="N26" s="4"/>
      <c r="O26" s="4" t="s">
        <v>84</v>
      </c>
      <c r="P26" s="4" t="s">
        <v>233</v>
      </c>
      <c r="Q26" s="4" t="s">
        <v>234</v>
      </c>
    </row>
    <row r="27" customFormat="false" ht="24" hidden="false" customHeight="false" outlineLevel="0" collapsed="false">
      <c r="A27" s="4" t="n">
        <v>23</v>
      </c>
      <c r="B27" s="4" t="s">
        <v>225</v>
      </c>
      <c r="C27" s="4" t="s">
        <v>87</v>
      </c>
      <c r="D27" s="4" t="s">
        <v>226</v>
      </c>
      <c r="E27" s="15" t="str">
        <f aca="false">IF(D27="","",C27&amp;D27)</f>
        <v>+EB-KE3</v>
      </c>
      <c r="F27" s="4"/>
      <c r="G27" s="4" t="s">
        <v>235</v>
      </c>
      <c r="H27" s="4" t="s">
        <v>236</v>
      </c>
      <c r="I27" s="4" t="s">
        <v>237</v>
      </c>
      <c r="J27" s="4" t="s">
        <v>97</v>
      </c>
      <c r="K27" s="8" t="s">
        <v>238</v>
      </c>
      <c r="L27" s="4" t="s">
        <v>239</v>
      </c>
      <c r="M27" s="4" t="s">
        <v>83</v>
      </c>
      <c r="N27" s="4"/>
      <c r="O27" s="4" t="s">
        <v>240</v>
      </c>
      <c r="P27" s="4" t="s">
        <v>241</v>
      </c>
      <c r="Q27" s="4" t="s">
        <v>242</v>
      </c>
    </row>
    <row r="28" customFormat="false" ht="24" hidden="false" customHeight="false" outlineLevel="0" collapsed="false">
      <c r="A28" s="4" t="n">
        <v>24</v>
      </c>
      <c r="B28" s="4" t="s">
        <v>225</v>
      </c>
      <c r="C28" s="4" t="s">
        <v>87</v>
      </c>
      <c r="D28" s="4" t="s">
        <v>243</v>
      </c>
      <c r="E28" s="15" t="str">
        <f aca="false">IF(D28="","",C28&amp;D28)</f>
        <v>+EB-KE4</v>
      </c>
      <c r="F28" s="4" t="s">
        <v>244</v>
      </c>
      <c r="G28" s="4" t="s">
        <v>245</v>
      </c>
      <c r="H28" s="8" t="s">
        <v>78</v>
      </c>
      <c r="I28" s="4" t="s">
        <v>246</v>
      </c>
      <c r="J28" s="8" t="s">
        <v>80</v>
      </c>
      <c r="K28" s="4" t="s">
        <v>247</v>
      </c>
      <c r="L28" s="4" t="s">
        <v>248</v>
      </c>
      <c r="M28" s="4" t="s">
        <v>83</v>
      </c>
      <c r="N28" s="4"/>
      <c r="O28" s="4" t="s">
        <v>84</v>
      </c>
      <c r="P28" s="4" t="s">
        <v>249</v>
      </c>
      <c r="Q28" s="4" t="s">
        <v>250</v>
      </c>
    </row>
    <row r="29" customFormat="false" ht="24" hidden="false" customHeight="false" outlineLevel="0" collapsed="false">
      <c r="A29" s="4" t="n">
        <v>25</v>
      </c>
      <c r="B29" s="4" t="s">
        <v>225</v>
      </c>
      <c r="C29" s="4" t="s">
        <v>87</v>
      </c>
      <c r="D29" s="4" t="s">
        <v>251</v>
      </c>
      <c r="E29" s="15" t="str">
        <f aca="false">IF(D29="","",C29&amp;D29)</f>
        <v>+EB-TF1</v>
      </c>
      <c r="F29" s="4" t="s">
        <v>252</v>
      </c>
      <c r="G29" s="4" t="s">
        <v>253</v>
      </c>
      <c r="H29" s="4" t="s">
        <v>254</v>
      </c>
      <c r="I29" s="4" t="s">
        <v>255</v>
      </c>
      <c r="J29" s="8" t="s">
        <v>80</v>
      </c>
      <c r="K29" s="4" t="s">
        <v>256</v>
      </c>
      <c r="L29" s="4" t="s">
        <v>257</v>
      </c>
      <c r="M29" s="4" t="s">
        <v>83</v>
      </c>
      <c r="N29" s="4"/>
      <c r="O29" s="4" t="s">
        <v>84</v>
      </c>
      <c r="P29" s="4" t="s">
        <v>258</v>
      </c>
      <c r="Q29" s="4" t="s">
        <v>259</v>
      </c>
    </row>
    <row r="30" customFormat="false" ht="15" hidden="false" customHeight="false" outlineLevel="0" collapsed="false">
      <c r="A30" s="4" t="n">
        <v>26</v>
      </c>
      <c r="B30" s="4" t="s">
        <v>225</v>
      </c>
      <c r="C30" s="4" t="s">
        <v>191</v>
      </c>
      <c r="D30" s="4" t="s">
        <v>260</v>
      </c>
      <c r="E30" s="15" t="str">
        <f aca="false">IF(D30="","",C30&amp;D30)</f>
        <v>+FR-SJ2</v>
      </c>
      <c r="F30" s="4" t="s">
        <v>261</v>
      </c>
      <c r="G30" s="4" t="s">
        <v>262</v>
      </c>
      <c r="H30" s="8" t="s">
        <v>78</v>
      </c>
      <c r="I30" s="8" t="s">
        <v>79</v>
      </c>
      <c r="J30" s="8" t="s">
        <v>80</v>
      </c>
      <c r="K30" s="8" t="s">
        <v>263</v>
      </c>
      <c r="L30" s="4" t="s">
        <v>264</v>
      </c>
      <c r="M30" s="4" t="s">
        <v>83</v>
      </c>
      <c r="N30" s="4"/>
      <c r="O30" s="4" t="s">
        <v>84</v>
      </c>
      <c r="P30" s="4" t="s">
        <v>93</v>
      </c>
      <c r="Q30" s="4"/>
    </row>
    <row r="31" customFormat="false" ht="15" hidden="false" customHeight="false" outlineLevel="0" collapsed="false">
      <c r="A31" s="4" t="n">
        <v>27</v>
      </c>
      <c r="B31" s="4" t="s">
        <v>225</v>
      </c>
      <c r="C31" s="4" t="s">
        <v>191</v>
      </c>
      <c r="D31" s="4" t="s">
        <v>265</v>
      </c>
      <c r="E31" s="15" t="str">
        <f aca="false">IF(D31="","",C31&amp;D31)</f>
        <v>+FR-SJ5</v>
      </c>
      <c r="F31" s="4" t="s">
        <v>266</v>
      </c>
      <c r="G31" s="4" t="s">
        <v>267</v>
      </c>
      <c r="H31" s="8" t="s">
        <v>78</v>
      </c>
      <c r="I31" s="8" t="s">
        <v>79</v>
      </c>
      <c r="J31" s="8" t="s">
        <v>80</v>
      </c>
      <c r="K31" s="8" t="s">
        <v>268</v>
      </c>
      <c r="L31" s="4" t="s">
        <v>264</v>
      </c>
      <c r="M31" s="4" t="s">
        <v>83</v>
      </c>
      <c r="N31" s="4"/>
      <c r="O31" s="4" t="s">
        <v>84</v>
      </c>
      <c r="P31" s="4" t="s">
        <v>93</v>
      </c>
      <c r="Q31" s="16" t="s">
        <v>269</v>
      </c>
    </row>
    <row r="32" customFormat="false" ht="24" hidden="false" customHeight="false" outlineLevel="0" collapsed="false">
      <c r="A32" s="4" t="n">
        <v>28</v>
      </c>
      <c r="B32" s="4" t="s">
        <v>225</v>
      </c>
      <c r="C32" s="4" t="s">
        <v>270</v>
      </c>
      <c r="D32" s="4" t="s">
        <v>271</v>
      </c>
      <c r="E32" s="15" t="str">
        <f aca="false">IF(D32="","",C32&amp;D32)</f>
        <v>+PD-SJ6</v>
      </c>
      <c r="F32" s="4" t="s">
        <v>272</v>
      </c>
      <c r="G32" s="4" t="s">
        <v>273</v>
      </c>
      <c r="H32" s="8" t="s">
        <v>78</v>
      </c>
      <c r="I32" s="8" t="s">
        <v>79</v>
      </c>
      <c r="J32" s="8" t="s">
        <v>80</v>
      </c>
      <c r="K32" s="4" t="s">
        <v>274</v>
      </c>
      <c r="L32" s="4" t="s">
        <v>264</v>
      </c>
      <c r="M32" s="4" t="s">
        <v>83</v>
      </c>
      <c r="N32" s="4"/>
      <c r="O32" s="4" t="s">
        <v>84</v>
      </c>
      <c r="P32" s="4" t="s">
        <v>93</v>
      </c>
      <c r="Q32" s="4"/>
    </row>
    <row r="33" customFormat="false" ht="24" hidden="false" customHeight="false" outlineLevel="0" collapsed="false">
      <c r="A33" s="4" t="n">
        <v>29</v>
      </c>
      <c r="B33" s="4" t="s">
        <v>225</v>
      </c>
      <c r="C33" s="4" t="s">
        <v>270</v>
      </c>
      <c r="D33" s="4" t="s">
        <v>275</v>
      </c>
      <c r="E33" s="15" t="str">
        <f aca="false">IF(D33="","",C33&amp;D33)</f>
        <v>+PD-SJ7</v>
      </c>
      <c r="F33" s="4" t="s">
        <v>276</v>
      </c>
      <c r="G33" s="4" t="s">
        <v>277</v>
      </c>
      <c r="H33" s="8" t="s">
        <v>78</v>
      </c>
      <c r="I33" s="8" t="s">
        <v>79</v>
      </c>
      <c r="J33" s="8" t="s">
        <v>80</v>
      </c>
      <c r="K33" s="4" t="s">
        <v>274</v>
      </c>
      <c r="L33" s="4" t="s">
        <v>264</v>
      </c>
      <c r="M33" s="4" t="s">
        <v>83</v>
      </c>
      <c r="N33" s="4"/>
      <c r="O33" s="4" t="s">
        <v>84</v>
      </c>
      <c r="P33" s="4" t="s">
        <v>93</v>
      </c>
      <c r="Q33" s="4"/>
    </row>
    <row r="34" customFormat="false" ht="24" hidden="false" customHeight="false" outlineLevel="0" collapsed="false">
      <c r="A34" s="4" t="n">
        <v>30</v>
      </c>
      <c r="B34" s="4" t="s">
        <v>225</v>
      </c>
      <c r="C34" s="4" t="s">
        <v>270</v>
      </c>
      <c r="D34" s="4" t="s">
        <v>278</v>
      </c>
      <c r="E34" s="15" t="str">
        <f aca="false">IF(D34="","",C34&amp;D34)</f>
        <v>+PD-SJ8</v>
      </c>
      <c r="F34" s="4" t="s">
        <v>279</v>
      </c>
      <c r="G34" s="4" t="s">
        <v>280</v>
      </c>
      <c r="H34" s="8" t="s">
        <v>78</v>
      </c>
      <c r="I34" s="8" t="s">
        <v>79</v>
      </c>
      <c r="J34" s="8" t="s">
        <v>80</v>
      </c>
      <c r="K34" s="4" t="s">
        <v>274</v>
      </c>
      <c r="L34" s="4" t="s">
        <v>264</v>
      </c>
      <c r="M34" s="4" t="s">
        <v>83</v>
      </c>
      <c r="N34" s="4"/>
      <c r="O34" s="4" t="s">
        <v>84</v>
      </c>
      <c r="P34" s="4" t="s">
        <v>93</v>
      </c>
      <c r="Q34" s="4"/>
    </row>
    <row r="35" customFormat="false" ht="24" hidden="false" customHeight="false" outlineLevel="0" collapsed="false">
      <c r="A35" s="4" t="n">
        <v>31</v>
      </c>
      <c r="B35" s="4" t="s">
        <v>225</v>
      </c>
      <c r="C35" s="4" t="s">
        <v>270</v>
      </c>
      <c r="D35" s="4" t="s">
        <v>281</v>
      </c>
      <c r="E35" s="15" t="str">
        <f aca="false">IF(D35="","",C35&amp;D35)</f>
        <v>+PD-SJ9</v>
      </c>
      <c r="F35" s="4" t="s">
        <v>282</v>
      </c>
      <c r="G35" s="4" t="s">
        <v>283</v>
      </c>
      <c r="H35" s="8" t="s">
        <v>78</v>
      </c>
      <c r="I35" s="8" t="s">
        <v>79</v>
      </c>
      <c r="J35" s="8" t="s">
        <v>80</v>
      </c>
      <c r="K35" s="4" t="s">
        <v>274</v>
      </c>
      <c r="L35" s="4" t="s">
        <v>264</v>
      </c>
      <c r="M35" s="4" t="s">
        <v>83</v>
      </c>
      <c r="N35" s="4"/>
      <c r="O35" s="4" t="s">
        <v>84</v>
      </c>
      <c r="P35" s="4" t="s">
        <v>93</v>
      </c>
      <c r="Q35" s="4" t="s">
        <v>284</v>
      </c>
    </row>
    <row r="36" customFormat="false" ht="24" hidden="false" customHeight="false" outlineLevel="0" collapsed="false">
      <c r="A36" s="4" t="n">
        <v>32</v>
      </c>
      <c r="B36" s="4" t="s">
        <v>285</v>
      </c>
      <c r="C36" s="4" t="s">
        <v>150</v>
      </c>
      <c r="D36" s="4" t="s">
        <v>286</v>
      </c>
      <c r="E36" s="15" t="str">
        <f aca="false">IF(D36="","",C36&amp;D36)</f>
        <v>+VH-BG3</v>
      </c>
      <c r="F36" s="4" t="s">
        <v>287</v>
      </c>
      <c r="G36" s="4" t="s">
        <v>288</v>
      </c>
      <c r="H36" s="4" t="s">
        <v>169</v>
      </c>
      <c r="I36" s="8" t="s">
        <v>289</v>
      </c>
      <c r="J36" s="8" t="s">
        <v>80</v>
      </c>
      <c r="K36" s="4" t="s">
        <v>290</v>
      </c>
      <c r="L36" s="4" t="s">
        <v>291</v>
      </c>
      <c r="M36" s="4" t="s">
        <v>83</v>
      </c>
      <c r="N36" s="4"/>
      <c r="O36" s="4" t="s">
        <v>84</v>
      </c>
      <c r="P36" s="4" t="s">
        <v>292</v>
      </c>
      <c r="Q36" s="4" t="s">
        <v>293</v>
      </c>
    </row>
    <row r="37" customFormat="false" ht="35" hidden="false" customHeight="false" outlineLevel="0" collapsed="false">
      <c r="A37" s="4" t="n">
        <v>33</v>
      </c>
      <c r="B37" s="4" t="s">
        <v>285</v>
      </c>
      <c r="C37" s="4" t="s">
        <v>150</v>
      </c>
      <c r="D37" s="4" t="s">
        <v>294</v>
      </c>
      <c r="E37" s="15" t="str">
        <f aca="false">IF(D37="","",C37&amp;D37)</f>
        <v>+VH-BG4</v>
      </c>
      <c r="F37" s="4" t="s">
        <v>295</v>
      </c>
      <c r="G37" s="4" t="s">
        <v>296</v>
      </c>
      <c r="H37" s="4" t="s">
        <v>297</v>
      </c>
      <c r="I37" s="4" t="s">
        <v>298</v>
      </c>
      <c r="J37" s="8" t="s">
        <v>80</v>
      </c>
      <c r="K37" s="4" t="s">
        <v>299</v>
      </c>
      <c r="L37" s="4" t="s">
        <v>300</v>
      </c>
      <c r="M37" s="4" t="s">
        <v>83</v>
      </c>
      <c r="N37" s="4"/>
      <c r="O37" s="4" t="s">
        <v>84</v>
      </c>
      <c r="P37" s="4" t="s">
        <v>249</v>
      </c>
      <c r="Q37" s="4" t="s">
        <v>301</v>
      </c>
    </row>
    <row r="38" customFormat="false" ht="24" hidden="false" customHeight="false" outlineLevel="0" collapsed="false">
      <c r="A38" s="4" t="n">
        <v>34</v>
      </c>
      <c r="B38" s="4" t="s">
        <v>302</v>
      </c>
      <c r="C38" s="4" t="s">
        <v>150</v>
      </c>
      <c r="D38" s="4" t="s">
        <v>303</v>
      </c>
      <c r="E38" s="15" t="str">
        <f aca="false">IF(D38="","",C38&amp;D38)</f>
        <v>+VH-PJ1</v>
      </c>
      <c r="F38" s="4" t="s">
        <v>304</v>
      </c>
      <c r="G38" s="4" t="s">
        <v>305</v>
      </c>
      <c r="H38" s="4" t="s">
        <v>306</v>
      </c>
      <c r="I38" s="8" t="s">
        <v>79</v>
      </c>
      <c r="J38" s="8" t="s">
        <v>80</v>
      </c>
      <c r="K38" s="8" t="s">
        <v>307</v>
      </c>
      <c r="L38" s="4" t="s">
        <v>308</v>
      </c>
      <c r="M38" s="4" t="s">
        <v>83</v>
      </c>
      <c r="N38" s="4"/>
      <c r="O38" s="4" t="s">
        <v>84</v>
      </c>
      <c r="P38" s="4" t="s">
        <v>309</v>
      </c>
      <c r="Q38" s="16" t="s">
        <v>310</v>
      </c>
    </row>
    <row r="39" customFormat="false" ht="15" hidden="false" customHeight="false" outlineLevel="0" collapsed="false">
      <c r="A39" s="4" t="n">
        <v>35</v>
      </c>
      <c r="B39" s="4" t="s">
        <v>302</v>
      </c>
      <c r="C39" s="4" t="s">
        <v>191</v>
      </c>
      <c r="D39" s="4" t="s">
        <v>311</v>
      </c>
      <c r="E39" s="15" t="str">
        <f aca="false">IF(D39="","",C39&amp;D39)</f>
        <v>+FR-PH1</v>
      </c>
      <c r="F39" s="4" t="s">
        <v>312</v>
      </c>
      <c r="G39" s="4" t="s">
        <v>313</v>
      </c>
      <c r="H39" s="8" t="s">
        <v>78</v>
      </c>
      <c r="I39" s="8" t="s">
        <v>79</v>
      </c>
      <c r="J39" s="8" t="s">
        <v>80</v>
      </c>
      <c r="K39" s="8" t="s">
        <v>314</v>
      </c>
      <c r="L39" s="4" t="s">
        <v>315</v>
      </c>
      <c r="M39" s="4" t="s">
        <v>83</v>
      </c>
      <c r="N39" s="4"/>
      <c r="O39" s="4" t="s">
        <v>84</v>
      </c>
      <c r="P39" s="4" t="s">
        <v>316</v>
      </c>
      <c r="Q39" s="16" t="s">
        <v>269</v>
      </c>
    </row>
    <row r="40" customFormat="false" ht="15" hidden="false" customHeight="false" outlineLevel="0" collapsed="false">
      <c r="A40" s="4" t="n">
        <v>36</v>
      </c>
      <c r="B40" s="4" t="s">
        <v>302</v>
      </c>
      <c r="C40" s="4" t="s">
        <v>87</v>
      </c>
      <c r="D40" s="4" t="s">
        <v>317</v>
      </c>
      <c r="E40" s="15" t="str">
        <f aca="false">IF(D40="","",C40&amp;D40)</f>
        <v>+EB-GQ1</v>
      </c>
      <c r="F40" s="4" t="s">
        <v>318</v>
      </c>
      <c r="G40" s="4" t="s">
        <v>319</v>
      </c>
      <c r="H40" s="4" t="s">
        <v>320</v>
      </c>
      <c r="I40" s="8" t="s">
        <v>79</v>
      </c>
      <c r="J40" s="8" t="s">
        <v>80</v>
      </c>
      <c r="K40" s="4" t="s">
        <v>247</v>
      </c>
      <c r="L40" s="4" t="s">
        <v>315</v>
      </c>
      <c r="M40" s="4" t="s">
        <v>83</v>
      </c>
      <c r="N40" s="4"/>
      <c r="O40" s="4" t="s">
        <v>84</v>
      </c>
      <c r="P40" s="4" t="s">
        <v>93</v>
      </c>
      <c r="Q40" s="4"/>
    </row>
    <row r="41" customFormat="false" ht="15" hidden="false" customHeight="false" outlineLevel="0" collapsed="false">
      <c r="A41" s="4" t="n">
        <v>37</v>
      </c>
      <c r="B41" s="4" t="s">
        <v>302</v>
      </c>
      <c r="C41" s="4" t="s">
        <v>87</v>
      </c>
      <c r="D41" s="4" t="s">
        <v>321</v>
      </c>
      <c r="E41" s="15" t="str">
        <f aca="false">IF(D41="","",C41&amp;D41)</f>
        <v>+EB-GQ2</v>
      </c>
      <c r="F41" s="4" t="s">
        <v>322</v>
      </c>
      <c r="G41" s="4" t="s">
        <v>319</v>
      </c>
      <c r="H41" s="4" t="s">
        <v>320</v>
      </c>
      <c r="I41" s="8" t="s">
        <v>79</v>
      </c>
      <c r="J41" s="8" t="s">
        <v>80</v>
      </c>
      <c r="K41" s="4" t="s">
        <v>247</v>
      </c>
      <c r="L41" s="4" t="s">
        <v>315</v>
      </c>
      <c r="M41" s="4" t="s">
        <v>83</v>
      </c>
      <c r="N41" s="4"/>
      <c r="O41" s="4" t="s">
        <v>84</v>
      </c>
      <c r="P41" s="4" t="s">
        <v>93</v>
      </c>
      <c r="Q41" s="4"/>
    </row>
    <row r="42" customFormat="false" ht="15" hidden="false" customHeight="false" outlineLevel="0" collapsed="false">
      <c r="A42" s="4" t="n">
        <v>38</v>
      </c>
      <c r="B42" s="4" t="s">
        <v>302</v>
      </c>
      <c r="C42" s="4" t="s">
        <v>87</v>
      </c>
      <c r="D42" s="4" t="s">
        <v>323</v>
      </c>
      <c r="E42" s="15" t="str">
        <f aca="false">IF(D42="","",C42&amp;D42)</f>
        <v>+EB-GQ3</v>
      </c>
      <c r="F42" s="4" t="s">
        <v>324</v>
      </c>
      <c r="G42" s="4" t="s">
        <v>319</v>
      </c>
      <c r="H42" s="4" t="s">
        <v>320</v>
      </c>
      <c r="I42" s="8" t="s">
        <v>79</v>
      </c>
      <c r="J42" s="8" t="s">
        <v>80</v>
      </c>
      <c r="K42" s="4" t="s">
        <v>247</v>
      </c>
      <c r="L42" s="4" t="s">
        <v>315</v>
      </c>
      <c r="M42" s="4" t="s">
        <v>83</v>
      </c>
      <c r="N42" s="4"/>
      <c r="O42" s="4" t="s">
        <v>84</v>
      </c>
      <c r="P42" s="4" t="s">
        <v>93</v>
      </c>
      <c r="Q42" s="4"/>
    </row>
    <row r="43" customFormat="false" ht="24" hidden="false" customHeight="false" outlineLevel="0" collapsed="false">
      <c r="A43" s="4" t="n">
        <v>39</v>
      </c>
      <c r="B43" s="4" t="s">
        <v>302</v>
      </c>
      <c r="C43" s="4" t="s">
        <v>87</v>
      </c>
      <c r="D43" s="4" t="s">
        <v>325</v>
      </c>
      <c r="E43" s="15" t="str">
        <f aca="false">IF(D43="","",C43&amp;D43)</f>
        <v>+EB-XE1</v>
      </c>
      <c r="F43" s="4" t="s">
        <v>326</v>
      </c>
      <c r="G43" s="4" t="s">
        <v>327</v>
      </c>
      <c r="H43" s="4" t="s">
        <v>97</v>
      </c>
      <c r="I43" s="4" t="s">
        <v>97</v>
      </c>
      <c r="J43" s="4" t="s">
        <v>97</v>
      </c>
      <c r="K43" s="4" t="s">
        <v>97</v>
      </c>
      <c r="L43" s="4" t="s">
        <v>156</v>
      </c>
      <c r="M43" s="4" t="s">
        <v>83</v>
      </c>
      <c r="N43" s="4"/>
      <c r="O43" s="4" t="s">
        <v>84</v>
      </c>
      <c r="P43" s="4" t="s">
        <v>93</v>
      </c>
      <c r="Q43" s="4" t="s">
        <v>328</v>
      </c>
    </row>
    <row r="44" customFormat="false" ht="46" hidden="false" customHeight="false" outlineLevel="0" collapsed="false">
      <c r="A44" s="4" t="n">
        <v>40</v>
      </c>
      <c r="B44" s="4" t="s">
        <v>73</v>
      </c>
      <c r="C44" s="8" t="s">
        <v>329</v>
      </c>
      <c r="D44" s="4" t="s">
        <v>330</v>
      </c>
      <c r="E44" s="15" t="str">
        <f aca="false">IF(D44="","",C44&amp;D44)</f>
        <v>«location»-XD1</v>
      </c>
      <c r="F44" s="4"/>
      <c r="G44" s="4" t="s">
        <v>331</v>
      </c>
      <c r="H44" s="8" t="s">
        <v>78</v>
      </c>
      <c r="I44" s="8" t="s">
        <v>79</v>
      </c>
      <c r="J44" s="8" t="s">
        <v>80</v>
      </c>
      <c r="K44" s="8" t="s">
        <v>332</v>
      </c>
      <c r="L44" s="4" t="s">
        <v>97</v>
      </c>
      <c r="M44" s="4" t="s">
        <v>83</v>
      </c>
      <c r="N44" s="4"/>
      <c r="O44" s="17" t="s">
        <v>98</v>
      </c>
      <c r="P44" s="4" t="s">
        <v>333</v>
      </c>
      <c r="Q44" s="8" t="s">
        <v>334</v>
      </c>
    </row>
    <row r="45" customFormat="false" ht="35" hidden="false" customHeight="false" outlineLevel="0" collapsed="false">
      <c r="A45" s="4" t="n">
        <v>41</v>
      </c>
      <c r="B45" s="4" t="s">
        <v>225</v>
      </c>
      <c r="C45" s="8" t="s">
        <v>329</v>
      </c>
      <c r="D45" s="4" t="s">
        <v>335</v>
      </c>
      <c r="E45" s="15" t="str">
        <f aca="false">IF(D45="","",C45&amp;D45)</f>
        <v>«location»-RA1</v>
      </c>
      <c r="F45" s="4"/>
      <c r="G45" s="4" t="s">
        <v>336</v>
      </c>
      <c r="H45" s="8" t="s">
        <v>78</v>
      </c>
      <c r="I45" s="8" t="s">
        <v>79</v>
      </c>
      <c r="J45" s="8" t="s">
        <v>80</v>
      </c>
      <c r="K45" s="4" t="s">
        <v>337</v>
      </c>
      <c r="L45" s="4" t="s">
        <v>338</v>
      </c>
      <c r="M45" s="4" t="s">
        <v>83</v>
      </c>
      <c r="N45" s="4"/>
      <c r="O45" s="17" t="s">
        <v>98</v>
      </c>
      <c r="P45" s="4" t="s">
        <v>339</v>
      </c>
      <c r="Q45" s="8" t="s">
        <v>340</v>
      </c>
    </row>
  </sheetData>
  <autoFilter ref="A4:Q45"/>
  <printOptions headings="false" gridLines="false" gridLinesSet="true" horizontalCentered="false" verticalCentered="false"/>
  <pageMargins left="0.5" right="0.5" top="0.6" bottom="0.7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9" min="7" style="0" width="10"/>
    <col collapsed="false" customWidth="true" hidden="false" outlineLevel="0" max="10" min="10" style="0" width="9"/>
    <col collapsed="false" customWidth="true" hidden="false" outlineLevel="0" max="13" min="11" style="0" width="11"/>
    <col collapsed="false" customWidth="true" hidden="false" outlineLevel="0" max="14" min="14" style="0" width="44"/>
    <col collapsed="false" customWidth="true" hidden="false" outlineLevel="0" max="15" min="15" style="0" width="11"/>
    <col collapsed="false" customWidth="true" hidden="false" outlineLevel="0" max="16" min="16" style="0" width="50"/>
  </cols>
  <sheetData>
    <row r="1" customFormat="false" ht="15" hidden="false" customHeight="false" outlineLevel="0" collapsed="false">
      <c r="A1" s="5" t="s">
        <v>341</v>
      </c>
    </row>
    <row r="2" customFormat="false" ht="15" hidden="false" customHeight="false" outlineLevel="0" collapsed="false">
      <c r="A2" s="2" t="s">
        <v>342</v>
      </c>
    </row>
    <row r="4" customFormat="false" ht="42" hidden="false" customHeight="true" outlineLevel="0" collapsed="false">
      <c r="A4" s="14" t="s">
        <v>64</v>
      </c>
      <c r="B4" s="14" t="s">
        <v>343</v>
      </c>
      <c r="C4" s="14" t="s">
        <v>344</v>
      </c>
      <c r="D4" s="14" t="s">
        <v>345</v>
      </c>
      <c r="E4" s="14" t="s">
        <v>71</v>
      </c>
      <c r="F4" s="14" t="s">
        <v>346</v>
      </c>
      <c r="G4" s="14" t="s">
        <v>347</v>
      </c>
      <c r="H4" s="14" t="s">
        <v>348</v>
      </c>
      <c r="I4" s="14" t="s">
        <v>349</v>
      </c>
      <c r="J4" s="14" t="s">
        <v>350</v>
      </c>
      <c r="K4" s="14" t="s">
        <v>351</v>
      </c>
      <c r="L4" s="14" t="s">
        <v>352</v>
      </c>
      <c r="M4" s="14" t="s">
        <v>353</v>
      </c>
      <c r="N4" s="14" t="s">
        <v>354</v>
      </c>
      <c r="O4" s="14" t="s">
        <v>27</v>
      </c>
      <c r="P4" s="14" t="s">
        <v>72</v>
      </c>
    </row>
    <row r="5" customFormat="false" ht="24" hidden="false" customHeight="false" outlineLevel="0" collapsed="false">
      <c r="A5" s="4" t="s">
        <v>355</v>
      </c>
      <c r="B5" s="15" t="str">
        <f aca="false">IFERROR(INDEX(Devices!$G:$G,MATCH($A5,Devices!$E:$E,0)),"«not in Devices»")</f>
        <v>Safety controller main module, Flexi Soft</v>
      </c>
      <c r="C5" s="15" t="str">
        <f aca="false">IFERROR(INDEX(Devices!$H:$H,MATCH($A5,Devices!$E:$E,0)),"«not in Devices»")</f>
        <v>SICK</v>
      </c>
      <c r="D5" s="15" t="str">
        <f aca="false">IFERROR(INDEX(Devices!$I:$I,MATCH($A5,Devices!$E:$E,0)),"«not in Devices»")</f>
        <v>FX3-CPU000000</v>
      </c>
      <c r="E5" s="4" t="s">
        <v>174</v>
      </c>
      <c r="F5" s="4" t="s">
        <v>356</v>
      </c>
      <c r="G5" s="4" t="s">
        <v>97</v>
      </c>
      <c r="H5" s="4" t="s">
        <v>357</v>
      </c>
      <c r="I5" s="4" t="s">
        <v>358</v>
      </c>
      <c r="J5" s="4" t="s">
        <v>359</v>
      </c>
      <c r="K5" s="18" t="n">
        <v>1.07E-009</v>
      </c>
      <c r="L5" s="4" t="s">
        <v>97</v>
      </c>
      <c r="M5" s="4" t="n">
        <v>20</v>
      </c>
      <c r="N5" s="8" t="s">
        <v>360</v>
      </c>
      <c r="O5" s="4" t="s">
        <v>180</v>
      </c>
      <c r="P5" s="4" t="s">
        <v>361</v>
      </c>
    </row>
    <row r="6" customFormat="false" ht="35" hidden="false" customHeight="false" outlineLevel="0" collapsed="false">
      <c r="A6" s="4" t="s">
        <v>362</v>
      </c>
      <c r="B6" s="15" t="str">
        <f aca="false">IFERROR(INDEX(Devices!$G:$G,MATCH($A6,Devices!$E:$E,0)),"«not in Devices»")</f>
        <v>Safety I/O module, Flexi Soft: 8 safe inputs, 2 test outputs, 4 safe outputs</v>
      </c>
      <c r="C6" s="15" t="str">
        <f aca="false">IFERROR(INDEX(Devices!$H:$H,MATCH($A6,Devices!$E:$E,0)),"«not in Devices»")</f>
        <v>SICK</v>
      </c>
      <c r="D6" s="15" t="str">
        <f aca="false">IFERROR(INDEX(Devices!$I:$I,MATCH($A6,Devices!$E:$E,0)),"«not in Devices»")</f>
        <v>FX3-XTIO84002</v>
      </c>
      <c r="E6" s="4" t="s">
        <v>174</v>
      </c>
      <c r="F6" s="4" t="s">
        <v>363</v>
      </c>
      <c r="G6" s="4" t="s">
        <v>97</v>
      </c>
      <c r="H6" s="4" t="s">
        <v>357</v>
      </c>
      <c r="I6" s="4" t="s">
        <v>358</v>
      </c>
      <c r="J6" s="4" t="s">
        <v>359</v>
      </c>
      <c r="K6" s="18" t="n">
        <v>4.8E-009</v>
      </c>
      <c r="L6" s="4" t="s">
        <v>97</v>
      </c>
      <c r="M6" s="4" t="n">
        <v>20</v>
      </c>
      <c r="N6" s="8" t="s">
        <v>364</v>
      </c>
      <c r="O6" s="4" t="s">
        <v>365</v>
      </c>
      <c r="P6" s="4" t="s">
        <v>366</v>
      </c>
    </row>
    <row r="7" customFormat="false" ht="35" hidden="false" customHeight="false" outlineLevel="0" collapsed="false">
      <c r="A7" s="4" t="s">
        <v>367</v>
      </c>
      <c r="B7" s="15" t="str">
        <f aca="false">IFERROR(INDEX(Devices!$G:$G,MATCH($A7,Devices!$E:$E,0)),"«not in Devices»")</f>
        <v>Safety laser scanner, front</v>
      </c>
      <c r="C7" s="15" t="str">
        <f aca="false">IFERROR(INDEX(Devices!$H:$H,MATCH($A7,Devices!$E:$E,0)),"«not in Devices»")</f>
        <v>SICK</v>
      </c>
      <c r="D7" s="15" t="str">
        <f aca="false">IFERROR(INDEX(Devices!$I:$I,MATCH($A7,Devices!$E:$E,0)),"«not in Devices»")</f>
        <v>nanoScan3 Core I/O «variant, e.g. NANS3-AAAZ30AN1»</v>
      </c>
      <c r="E7" s="4" t="s">
        <v>218</v>
      </c>
      <c r="F7" s="4" t="s">
        <v>368</v>
      </c>
      <c r="G7" s="4" t="s">
        <v>369</v>
      </c>
      <c r="H7" s="4" t="s">
        <v>370</v>
      </c>
      <c r="I7" s="4" t="s">
        <v>371</v>
      </c>
      <c r="J7" s="4" t="s">
        <v>372</v>
      </c>
      <c r="K7" s="18" t="n">
        <v>8E-008</v>
      </c>
      <c r="L7" s="4" t="s">
        <v>97</v>
      </c>
      <c r="M7" s="4" t="n">
        <v>20</v>
      </c>
      <c r="N7" s="8" t="s">
        <v>373</v>
      </c>
      <c r="O7" s="4" t="s">
        <v>223</v>
      </c>
      <c r="P7" s="4" t="s">
        <v>374</v>
      </c>
    </row>
    <row r="8" customFormat="false" ht="57" hidden="false" customHeight="false" outlineLevel="0" collapsed="false">
      <c r="A8" s="4" t="s">
        <v>375</v>
      </c>
      <c r="B8" s="15" t="str">
        <f aca="false">IFERROR(INDEX(Devices!$G:$G,MATCH($A8,Devices!$E:$E,0)),"«not in Devices»")</f>
        <v>Motor driver, left: brushless DC, CANopen, safe torque off (HWTO) with EDM output</v>
      </c>
      <c r="C8" s="15" t="str">
        <f aca="false">IFERROR(INDEX(Devices!$H:$H,MATCH($A8,Devices!$E:$E,0)),"«not in Devices»")</f>
        <v>Oriental Motor</v>
      </c>
      <c r="D8" s="15" t="str">
        <f aca="false">IFERROR(INDEX(Devices!$I:$I,MATCH($A8,Devices!$E:$E,0)),"«not in Devices»")</f>
        <v>BLVD-KRD</v>
      </c>
      <c r="E8" s="4" t="s">
        <v>143</v>
      </c>
      <c r="F8" s="4" t="s">
        <v>376</v>
      </c>
      <c r="G8" s="4" t="s">
        <v>97</v>
      </c>
      <c r="H8" s="4" t="s">
        <v>370</v>
      </c>
      <c r="I8" s="4" t="s">
        <v>371</v>
      </c>
      <c r="J8" s="4" t="s">
        <v>372</v>
      </c>
      <c r="K8" s="19" t="n">
        <v>2.9E-007</v>
      </c>
      <c r="L8" s="4" t="s">
        <v>97</v>
      </c>
      <c r="M8" s="8" t="s">
        <v>377</v>
      </c>
      <c r="N8" s="4" t="s">
        <v>378</v>
      </c>
      <c r="O8" s="4" t="s">
        <v>379</v>
      </c>
      <c r="P8" s="4" t="s">
        <v>380</v>
      </c>
    </row>
    <row r="9" customFormat="false" ht="57" hidden="false" customHeight="false" outlineLevel="0" collapsed="false">
      <c r="A9" s="4" t="s">
        <v>381</v>
      </c>
      <c r="B9" s="15" t="str">
        <f aca="false">IFERROR(INDEX(Devices!$G:$G,MATCH($A9,Devices!$E:$E,0)),"«not in Devices»")</f>
        <v>Motor driver, right: brushless DC, CANopen, safe torque off (HWTO) with EDM output</v>
      </c>
      <c r="C9" s="15" t="str">
        <f aca="false">IFERROR(INDEX(Devices!$H:$H,MATCH($A9,Devices!$E:$E,0)),"«not in Devices»")</f>
        <v>Oriental Motor</v>
      </c>
      <c r="D9" s="15" t="str">
        <f aca="false">IFERROR(INDEX(Devices!$I:$I,MATCH($A9,Devices!$E:$E,0)),"«not in Devices»")</f>
        <v>BLVD-KRD</v>
      </c>
      <c r="E9" s="4" t="s">
        <v>143</v>
      </c>
      <c r="F9" s="4" t="s">
        <v>376</v>
      </c>
      <c r="G9" s="4" t="s">
        <v>97</v>
      </c>
      <c r="H9" s="4" t="s">
        <v>370</v>
      </c>
      <c r="I9" s="4" t="s">
        <v>371</v>
      </c>
      <c r="J9" s="4" t="s">
        <v>372</v>
      </c>
      <c r="K9" s="19" t="n">
        <v>2.9E-007</v>
      </c>
      <c r="L9" s="4" t="s">
        <v>97</v>
      </c>
      <c r="M9" s="8" t="s">
        <v>377</v>
      </c>
      <c r="N9" s="4" t="s">
        <v>378</v>
      </c>
      <c r="O9" s="4" t="s">
        <v>379</v>
      </c>
      <c r="P9" s="4" t="s">
        <v>382</v>
      </c>
    </row>
    <row r="10" customFormat="false" ht="35" hidden="false" customHeight="false" outlineLevel="0" collapsed="false">
      <c r="A10" s="4" t="s">
        <v>383</v>
      </c>
      <c r="B10" s="15" t="str">
        <f aca="false">IFERROR(INDEX(Devices!$G:$G,MATCH($A10,Devices!$E:$E,0)),"«not in Devices»")</f>
        <v>Emergency stop push-button, 2 NC (11-12, 21-22), positive opening, turn to release</v>
      </c>
      <c r="C10" s="15" t="str">
        <f aca="false">IFERROR(INDEX(Devices!$H:$H,MATCH($A10,Devices!$E:$E,0)),"«not in Devices»")</f>
        <v>«MAKER»</v>
      </c>
      <c r="D10" s="15" t="str">
        <f aca="false">IFERROR(INDEX(Devices!$I:$I,MATCH($A10,Devices!$E:$E,0)),"«not in Devices»")</f>
        <v>«TYPE»</v>
      </c>
      <c r="E10" s="4" t="s">
        <v>197</v>
      </c>
      <c r="F10" s="4" t="s">
        <v>384</v>
      </c>
      <c r="G10" s="4" t="s">
        <v>97</v>
      </c>
      <c r="H10" s="4" t="s">
        <v>97</v>
      </c>
      <c r="I10" s="4" t="s">
        <v>97</v>
      </c>
      <c r="J10" s="4" t="s">
        <v>97</v>
      </c>
      <c r="K10" s="4" t="s">
        <v>97</v>
      </c>
      <c r="L10" s="20" t="n">
        <v>50000</v>
      </c>
      <c r="M10" s="8" t="s">
        <v>377</v>
      </c>
      <c r="N10" s="8" t="s">
        <v>385</v>
      </c>
      <c r="O10" s="4" t="s">
        <v>333</v>
      </c>
      <c r="P10" s="4" t="s">
        <v>386</v>
      </c>
    </row>
    <row r="11" customFormat="false" ht="24" hidden="false" customHeight="false" outlineLevel="0" collapsed="false">
      <c r="A11" s="4" t="s">
        <v>387</v>
      </c>
      <c r="B11" s="15" t="str">
        <f aca="false">IFERROR(INDEX(Devices!$G:$G,MATCH($A11,Devices!$E:$E,0)),"«not in Devices»")</f>
        <v>Push-button RESET, blue, 2 NO (13-14 → -KE2:I8; 23-24 → -KE4:DI01)</v>
      </c>
      <c r="C11" s="15" t="str">
        <f aca="false">IFERROR(INDEX(Devices!$H:$H,MATCH($A11,Devices!$E:$E,0)),"«not in Devices»")</f>
        <v>«MAKER»</v>
      </c>
      <c r="D11" s="15" t="str">
        <f aca="false">IFERROR(INDEX(Devices!$I:$I,MATCH($A11,Devices!$E:$E,0)),"«not in Devices»")</f>
        <v>«TYPE»</v>
      </c>
      <c r="E11" s="4" t="s">
        <v>204</v>
      </c>
      <c r="F11" s="4" t="s">
        <v>388</v>
      </c>
      <c r="G11" s="4" t="s">
        <v>97</v>
      </c>
      <c r="H11" s="4" t="s">
        <v>97</v>
      </c>
      <c r="I11" s="4" t="s">
        <v>97</v>
      </c>
      <c r="J11" s="4" t="s">
        <v>97</v>
      </c>
      <c r="K11" s="4" t="s">
        <v>97</v>
      </c>
      <c r="L11" s="8" t="s">
        <v>389</v>
      </c>
      <c r="M11" s="8" t="s">
        <v>377</v>
      </c>
      <c r="N11" s="4" t="s">
        <v>97</v>
      </c>
      <c r="O11" s="4" t="s">
        <v>133</v>
      </c>
      <c r="P11" s="4"/>
    </row>
    <row r="12" customFormat="false" ht="35" hidden="false" customHeight="false" outlineLevel="0" collapsed="false">
      <c r="A12" s="4" t="s">
        <v>390</v>
      </c>
      <c r="B12" s="15" t="str">
        <f aca="false">IFERROR(INDEX(Devices!$G:$G,MATCH($A12,Devices!$E:$E,0)),"«not in Devices»")</f>
        <v>Selector switch MANUAL / AUTO, 2 positions, 2 NO (13-14 → -KE2:I7; 23-24 → -KE4:DI02)</v>
      </c>
      <c r="C12" s="15" t="str">
        <f aca="false">IFERROR(INDEX(Devices!$H:$H,MATCH($A12,Devices!$E:$E,0)),"«not in Devices»")</f>
        <v>«MAKER»</v>
      </c>
      <c r="D12" s="15" t="str">
        <f aca="false">IFERROR(INDEX(Devices!$I:$I,MATCH($A12,Devices!$E:$E,0)),"«not in Devices»")</f>
        <v>«TYPE»</v>
      </c>
      <c r="E12" s="4" t="s">
        <v>209</v>
      </c>
      <c r="F12" s="4" t="s">
        <v>391</v>
      </c>
      <c r="G12" s="4" t="s">
        <v>97</v>
      </c>
      <c r="H12" s="4" t="s">
        <v>97</v>
      </c>
      <c r="I12" s="4" t="s">
        <v>97</v>
      </c>
      <c r="J12" s="4" t="s">
        <v>97</v>
      </c>
      <c r="K12" s="4" t="s">
        <v>97</v>
      </c>
      <c r="L12" s="8" t="s">
        <v>389</v>
      </c>
      <c r="M12" s="8" t="s">
        <v>377</v>
      </c>
      <c r="N12" s="4" t="s">
        <v>97</v>
      </c>
      <c r="O12" s="4" t="s">
        <v>133</v>
      </c>
      <c r="P12" s="4"/>
    </row>
    <row r="13" customFormat="false" ht="35" hidden="false" customHeight="false" outlineLevel="0" collapsed="false">
      <c r="A13" s="4" t="s">
        <v>392</v>
      </c>
      <c r="B13" s="15" t="str">
        <f aca="false">IFERROR(INDEX(Devices!$G:$G,MATCH($A13,Devices!$E:$E,0)),"«not in Devices»")</f>
        <v>Brushless motor with electromagnetic holding brake, for parallel-shaft gearhead, left</v>
      </c>
      <c r="C13" s="15" t="str">
        <f aca="false">IFERROR(INDEX(Devices!$H:$H,MATCH($A13,Devices!$E:$E,0)),"«not in Devices»")</f>
        <v>Oriental Motor</v>
      </c>
      <c r="D13" s="15" t="str">
        <f aca="false">IFERROR(INDEX(Devices!$I:$I,MATCH($A13,Devices!$E:$E,0)),"«not in Devices»")</f>
        <v>BLMR6400SKM-GFV-B</v>
      </c>
      <c r="E13" s="16" t="s">
        <v>157</v>
      </c>
      <c r="F13" s="4" t="s">
        <v>393</v>
      </c>
      <c r="G13" s="4" t="s">
        <v>97</v>
      </c>
      <c r="H13" s="4" t="s">
        <v>97</v>
      </c>
      <c r="I13" s="4" t="s">
        <v>97</v>
      </c>
      <c r="J13" s="4" t="s">
        <v>97</v>
      </c>
      <c r="K13" s="4" t="s">
        <v>97</v>
      </c>
      <c r="L13" s="8" t="s">
        <v>389</v>
      </c>
      <c r="M13" s="8" t="s">
        <v>377</v>
      </c>
      <c r="N13" s="4" t="s">
        <v>97</v>
      </c>
      <c r="O13" s="4" t="s">
        <v>99</v>
      </c>
      <c r="P13" s="4" t="s">
        <v>394</v>
      </c>
    </row>
    <row r="14" customFormat="false" ht="35" hidden="false" customHeight="false" outlineLevel="0" collapsed="false">
      <c r="A14" s="4" t="s">
        <v>395</v>
      </c>
      <c r="B14" s="15" t="str">
        <f aca="false">IFERROR(INDEX(Devices!$G:$G,MATCH($A14,Devices!$E:$E,0)),"«not in Devices»")</f>
        <v>Brushless motor with electromagnetic holding brake, for parallel-shaft gearhead, right</v>
      </c>
      <c r="C14" s="15" t="str">
        <f aca="false">IFERROR(INDEX(Devices!$H:$H,MATCH($A14,Devices!$E:$E,0)),"«not in Devices»")</f>
        <v>Oriental Motor</v>
      </c>
      <c r="D14" s="15" t="str">
        <f aca="false">IFERROR(INDEX(Devices!$I:$I,MATCH($A14,Devices!$E:$E,0)),"«not in Devices»")</f>
        <v>BLMR6400SKM-GFV-B</v>
      </c>
      <c r="E14" s="16" t="s">
        <v>157</v>
      </c>
      <c r="F14" s="4" t="s">
        <v>393</v>
      </c>
      <c r="G14" s="4" t="s">
        <v>97</v>
      </c>
      <c r="H14" s="4" t="s">
        <v>97</v>
      </c>
      <c r="I14" s="4" t="s">
        <v>97</v>
      </c>
      <c r="J14" s="4" t="s">
        <v>97</v>
      </c>
      <c r="K14" s="4" t="s">
        <v>97</v>
      </c>
      <c r="L14" s="8" t="s">
        <v>389</v>
      </c>
      <c r="M14" s="8" t="s">
        <v>377</v>
      </c>
      <c r="N14" s="4" t="s">
        <v>97</v>
      </c>
      <c r="O14" s="4" t="s">
        <v>99</v>
      </c>
      <c r="P14" s="4" t="s">
        <v>164</v>
      </c>
    </row>
  </sheetData>
  <autoFilter ref="A4:P14"/>
  <printOptions headings="false" gridLines="false" gridLinesSet="true" horizontalCentered="false" verticalCentered="false"/>
  <pageMargins left="0.5" right="0.5" top="0.6" bottom="0.7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5" t="s">
        <v>396</v>
      </c>
    </row>
    <row r="2" customFormat="false" ht="15" hidden="false" customHeight="false" outlineLevel="0" collapsed="false">
      <c r="A2" s="2" t="s">
        <v>397</v>
      </c>
    </row>
    <row r="4" customFormat="false" ht="42" hidden="false" customHeight="true" outlineLevel="0" collapsed="false">
      <c r="A4" s="14" t="s">
        <v>60</v>
      </c>
      <c r="B4" s="14" t="s">
        <v>398</v>
      </c>
      <c r="C4" s="14" t="s">
        <v>399</v>
      </c>
      <c r="D4" s="14" t="s">
        <v>5</v>
      </c>
      <c r="E4" s="14" t="s">
        <v>67</v>
      </c>
      <c r="F4" s="14" t="s">
        <v>400</v>
      </c>
      <c r="G4" s="14" t="s">
        <v>69</v>
      </c>
      <c r="H4" s="14" t="s">
        <v>401</v>
      </c>
      <c r="I4" s="14" t="s">
        <v>37</v>
      </c>
      <c r="J4" s="14" t="s">
        <v>27</v>
      </c>
      <c r="K4" s="14" t="s">
        <v>72</v>
      </c>
    </row>
    <row r="5" customFormat="false" ht="24" hidden="false" customHeight="false" outlineLevel="0" collapsed="false">
      <c r="A5" s="4" t="n">
        <v>1</v>
      </c>
      <c r="B5" s="4" t="s">
        <v>402</v>
      </c>
      <c r="C5" s="4" t="s">
        <v>392</v>
      </c>
      <c r="D5" s="4" t="s">
        <v>138</v>
      </c>
      <c r="E5" s="8" t="s">
        <v>403</v>
      </c>
      <c r="F5" s="4" t="n">
        <v>1</v>
      </c>
      <c r="G5" s="4" t="s">
        <v>404</v>
      </c>
      <c r="H5" s="4" t="s">
        <v>405</v>
      </c>
      <c r="I5" s="4" t="s">
        <v>406</v>
      </c>
      <c r="J5" s="4" t="s">
        <v>407</v>
      </c>
      <c r="K5" s="4" t="s">
        <v>408</v>
      </c>
    </row>
    <row r="6" customFormat="false" ht="15" hidden="false" customHeight="false" outlineLevel="0" collapsed="false">
      <c r="A6" s="4" t="n">
        <v>2</v>
      </c>
      <c r="B6" s="4" t="s">
        <v>402</v>
      </c>
      <c r="C6" s="4" t="s">
        <v>395</v>
      </c>
      <c r="D6" s="4" t="s">
        <v>138</v>
      </c>
      <c r="E6" s="8" t="s">
        <v>403</v>
      </c>
      <c r="F6" s="4" t="n">
        <v>1</v>
      </c>
      <c r="G6" s="4" t="s">
        <v>404</v>
      </c>
      <c r="H6" s="4" t="s">
        <v>409</v>
      </c>
      <c r="I6" s="4" t="s">
        <v>406</v>
      </c>
      <c r="J6" s="4" t="s">
        <v>407</v>
      </c>
      <c r="K6" s="4" t="s">
        <v>409</v>
      </c>
    </row>
    <row r="7" customFormat="false" ht="24" hidden="false" customHeight="false" outlineLevel="0" collapsed="false">
      <c r="A7" s="4" t="n">
        <v>3</v>
      </c>
      <c r="B7" s="4" t="s">
        <v>410</v>
      </c>
      <c r="C7" s="4" t="s">
        <v>150</v>
      </c>
      <c r="D7" s="8" t="s">
        <v>78</v>
      </c>
      <c r="E7" s="8" t="s">
        <v>79</v>
      </c>
      <c r="F7" s="4" t="n">
        <v>2</v>
      </c>
      <c r="G7" s="8" t="s">
        <v>411</v>
      </c>
      <c r="H7" s="4" t="s">
        <v>412</v>
      </c>
      <c r="I7" s="4" t="s">
        <v>406</v>
      </c>
      <c r="J7" s="4" t="s">
        <v>333</v>
      </c>
      <c r="K7" s="4"/>
    </row>
    <row r="8" customFormat="false" ht="15" hidden="false" customHeight="false" outlineLevel="0" collapsed="false">
      <c r="A8" s="4" t="n">
        <v>4</v>
      </c>
      <c r="B8" s="4" t="s">
        <v>413</v>
      </c>
      <c r="C8" s="4" t="s">
        <v>150</v>
      </c>
      <c r="D8" s="8" t="s">
        <v>78</v>
      </c>
      <c r="E8" s="8" t="s">
        <v>79</v>
      </c>
      <c r="F8" s="8" t="s">
        <v>414</v>
      </c>
      <c r="G8" s="8" t="s">
        <v>415</v>
      </c>
      <c r="H8" s="4" t="s">
        <v>416</v>
      </c>
      <c r="I8" s="16" t="s">
        <v>417</v>
      </c>
      <c r="J8" s="4" t="s">
        <v>333</v>
      </c>
      <c r="K8" s="16" t="s">
        <v>418</v>
      </c>
    </row>
    <row r="9" customFormat="false" ht="24" hidden="false" customHeight="false" outlineLevel="0" collapsed="false">
      <c r="A9" s="4" t="n">
        <v>5</v>
      </c>
      <c r="B9" s="4" t="s">
        <v>419</v>
      </c>
      <c r="C9" s="4" t="s">
        <v>150</v>
      </c>
      <c r="D9" s="8" t="s">
        <v>420</v>
      </c>
      <c r="E9" s="8" t="s">
        <v>421</v>
      </c>
      <c r="F9" s="4" t="n">
        <v>1</v>
      </c>
      <c r="G9" s="8" t="s">
        <v>422</v>
      </c>
      <c r="H9" s="4" t="s">
        <v>423</v>
      </c>
      <c r="I9" s="4" t="s">
        <v>406</v>
      </c>
      <c r="J9" s="4" t="s">
        <v>333</v>
      </c>
      <c r="K9" s="4" t="s">
        <v>424</v>
      </c>
    </row>
    <row r="10" customFormat="false" ht="24" hidden="false" customHeight="false" outlineLevel="0" collapsed="false">
      <c r="A10" s="4" t="n">
        <v>6</v>
      </c>
      <c r="B10" s="4" t="s">
        <v>425</v>
      </c>
      <c r="C10" s="4" t="s">
        <v>419</v>
      </c>
      <c r="D10" s="8" t="s">
        <v>78</v>
      </c>
      <c r="E10" s="8" t="s">
        <v>426</v>
      </c>
      <c r="F10" s="4" t="n">
        <v>1</v>
      </c>
      <c r="G10" s="4" t="s">
        <v>97</v>
      </c>
      <c r="H10" s="4" t="s">
        <v>427</v>
      </c>
      <c r="I10" s="16" t="s">
        <v>417</v>
      </c>
      <c r="J10" s="4" t="s">
        <v>333</v>
      </c>
      <c r="K10" s="4"/>
    </row>
    <row r="11" customFormat="false" ht="24" hidden="false" customHeight="false" outlineLevel="0" collapsed="false">
      <c r="A11" s="4" t="n">
        <v>7</v>
      </c>
      <c r="B11" s="4" t="s">
        <v>428</v>
      </c>
      <c r="C11" s="4" t="s">
        <v>367</v>
      </c>
      <c r="D11" s="8" t="s">
        <v>420</v>
      </c>
      <c r="E11" s="8" t="s">
        <v>429</v>
      </c>
      <c r="F11" s="4" t="n">
        <v>1</v>
      </c>
      <c r="G11" s="4" t="s">
        <v>430</v>
      </c>
      <c r="H11" s="4" t="s">
        <v>431</v>
      </c>
      <c r="I11" s="4" t="s">
        <v>406</v>
      </c>
      <c r="J11" s="4" t="s">
        <v>432</v>
      </c>
      <c r="K11" s="4"/>
    </row>
  </sheetData>
  <autoFilter ref="A4:K11"/>
  <printOptions headings="false" gridLines="false" gridLinesSet="true" horizontalCentered="false" verticalCentered="false"/>
  <pageMargins left="0.5" right="0.5" top="0.6" bottom="0.7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5" t="s">
        <v>433</v>
      </c>
    </row>
    <row r="2" customFormat="false" ht="15" hidden="false" customHeight="false" outlineLevel="0" collapsed="false">
      <c r="A2" s="2" t="s">
        <v>434</v>
      </c>
    </row>
    <row r="4" customFormat="false" ht="42" hidden="false" customHeight="true" outlineLevel="0" collapsed="false">
      <c r="A4" s="14" t="s">
        <v>60</v>
      </c>
      <c r="B4" s="14" t="s">
        <v>435</v>
      </c>
      <c r="C4" s="14" t="s">
        <v>5</v>
      </c>
      <c r="D4" s="14" t="s">
        <v>436</v>
      </c>
      <c r="E4" s="14" t="s">
        <v>437</v>
      </c>
      <c r="F4" s="14" t="s">
        <v>438</v>
      </c>
      <c r="G4" s="14" t="s">
        <v>439</v>
      </c>
      <c r="H4" s="14" t="s">
        <v>70</v>
      </c>
      <c r="I4" s="14" t="s">
        <v>440</v>
      </c>
      <c r="J4" s="14" t="s">
        <v>27</v>
      </c>
      <c r="K4" s="14" t="s">
        <v>72</v>
      </c>
    </row>
    <row r="5" customFormat="false" ht="15" hidden="false" customHeight="false" outlineLevel="0" collapsed="false">
      <c r="A5" s="4" t="n">
        <v>1</v>
      </c>
      <c r="B5" s="4" t="s">
        <v>441</v>
      </c>
      <c r="C5" s="8" t="s">
        <v>78</v>
      </c>
      <c r="D5" s="4" t="s">
        <v>442</v>
      </c>
      <c r="E5" s="4" t="s">
        <v>443</v>
      </c>
      <c r="F5" s="4" t="s">
        <v>75</v>
      </c>
      <c r="G5" s="4" t="s">
        <v>88</v>
      </c>
      <c r="H5" s="4" t="s">
        <v>92</v>
      </c>
      <c r="I5" s="8" t="s">
        <v>444</v>
      </c>
      <c r="J5" s="4" t="s">
        <v>133</v>
      </c>
      <c r="K5" s="4"/>
    </row>
    <row r="6" customFormat="false" ht="15" hidden="false" customHeight="false" outlineLevel="0" collapsed="false">
      <c r="A6" s="4" t="n">
        <v>2</v>
      </c>
      <c r="B6" s="4" t="s">
        <v>445</v>
      </c>
      <c r="C6" s="8" t="s">
        <v>78</v>
      </c>
      <c r="D6" s="4" t="s">
        <v>442</v>
      </c>
      <c r="E6" s="4" t="s">
        <v>446</v>
      </c>
      <c r="F6" s="4" t="s">
        <v>447</v>
      </c>
      <c r="G6" s="4" t="s">
        <v>448</v>
      </c>
      <c r="H6" s="4" t="s">
        <v>156</v>
      </c>
      <c r="I6" s="8" t="s">
        <v>444</v>
      </c>
      <c r="J6" s="4" t="s">
        <v>133</v>
      </c>
      <c r="K6" s="4"/>
    </row>
    <row r="7" customFormat="false" ht="15" hidden="false" customHeight="false" outlineLevel="0" collapsed="false">
      <c r="A7" s="4" t="n">
        <v>3</v>
      </c>
      <c r="B7" s="4" t="s">
        <v>449</v>
      </c>
      <c r="C7" s="8" t="s">
        <v>78</v>
      </c>
      <c r="D7" s="4" t="s">
        <v>442</v>
      </c>
      <c r="E7" s="4" t="s">
        <v>446</v>
      </c>
      <c r="F7" s="4" t="s">
        <v>450</v>
      </c>
      <c r="G7" s="4" t="s">
        <v>451</v>
      </c>
      <c r="H7" s="4" t="s">
        <v>156</v>
      </c>
      <c r="I7" s="8" t="s">
        <v>444</v>
      </c>
      <c r="J7" s="4" t="s">
        <v>133</v>
      </c>
      <c r="K7" s="4"/>
    </row>
    <row r="8" customFormat="false" ht="15" hidden="false" customHeight="false" outlineLevel="0" collapsed="false">
      <c r="A8" s="4" t="n">
        <v>4</v>
      </c>
      <c r="B8" s="4" t="s">
        <v>452</v>
      </c>
      <c r="C8" s="8" t="s">
        <v>78</v>
      </c>
      <c r="D8" s="4" t="s">
        <v>442</v>
      </c>
      <c r="E8" s="4" t="s">
        <v>453</v>
      </c>
      <c r="F8" s="4" t="s">
        <v>454</v>
      </c>
      <c r="G8" s="4" t="s">
        <v>455</v>
      </c>
      <c r="H8" s="4" t="s">
        <v>92</v>
      </c>
      <c r="I8" s="8" t="s">
        <v>444</v>
      </c>
      <c r="J8" s="4" t="s">
        <v>133</v>
      </c>
      <c r="K8" s="4"/>
    </row>
    <row r="9" customFormat="false" ht="15" hidden="false" customHeight="false" outlineLevel="0" collapsed="false">
      <c r="A9" s="4" t="n">
        <v>5</v>
      </c>
      <c r="B9" s="4" t="s">
        <v>456</v>
      </c>
      <c r="C9" s="8" t="s">
        <v>78</v>
      </c>
      <c r="D9" s="4" t="s">
        <v>442</v>
      </c>
      <c r="E9" s="4" t="s">
        <v>453</v>
      </c>
      <c r="F9" s="4" t="s">
        <v>454</v>
      </c>
      <c r="G9" s="4" t="s">
        <v>457</v>
      </c>
      <c r="H9" s="4" t="s">
        <v>92</v>
      </c>
      <c r="I9" s="8" t="s">
        <v>444</v>
      </c>
      <c r="J9" s="4" t="s">
        <v>133</v>
      </c>
      <c r="K9" s="4"/>
    </row>
    <row r="10" customFormat="false" ht="15" hidden="false" customHeight="false" outlineLevel="0" collapsed="false">
      <c r="A10" s="4" t="n">
        <v>6</v>
      </c>
      <c r="B10" s="4" t="s">
        <v>448</v>
      </c>
      <c r="C10" s="4" t="s">
        <v>138</v>
      </c>
      <c r="D10" s="4" t="s">
        <v>458</v>
      </c>
      <c r="E10" s="4" t="s">
        <v>459</v>
      </c>
      <c r="F10" s="4" t="s">
        <v>460</v>
      </c>
      <c r="G10" s="4" t="s">
        <v>461</v>
      </c>
      <c r="H10" s="4" t="s">
        <v>156</v>
      </c>
      <c r="I10" s="8" t="s">
        <v>444</v>
      </c>
      <c r="J10" s="4" t="s">
        <v>133</v>
      </c>
      <c r="K10" s="4"/>
    </row>
    <row r="11" customFormat="false" ht="15" hidden="false" customHeight="false" outlineLevel="0" collapsed="false">
      <c r="A11" s="4" t="n">
        <v>7</v>
      </c>
      <c r="B11" s="4" t="s">
        <v>451</v>
      </c>
      <c r="C11" s="4" t="s">
        <v>138</v>
      </c>
      <c r="D11" s="4" t="s">
        <v>458</v>
      </c>
      <c r="E11" s="4" t="s">
        <v>459</v>
      </c>
      <c r="F11" s="4" t="s">
        <v>462</v>
      </c>
      <c r="G11" s="4" t="s">
        <v>463</v>
      </c>
      <c r="H11" s="4" t="s">
        <v>156</v>
      </c>
      <c r="I11" s="8" t="s">
        <v>444</v>
      </c>
      <c r="J11" s="4" t="s">
        <v>133</v>
      </c>
      <c r="K11" s="4"/>
    </row>
    <row r="12" customFormat="false" ht="15" hidden="false" customHeight="false" outlineLevel="0" collapsed="false">
      <c r="A12" s="4" t="n">
        <v>8</v>
      </c>
      <c r="B12" s="4" t="s">
        <v>464</v>
      </c>
      <c r="C12" s="4" t="s">
        <v>138</v>
      </c>
      <c r="D12" s="4" t="s">
        <v>465</v>
      </c>
      <c r="E12" s="4" t="s">
        <v>466</v>
      </c>
      <c r="F12" s="4" t="s">
        <v>135</v>
      </c>
      <c r="G12" s="4" t="s">
        <v>151</v>
      </c>
      <c r="H12" s="4" t="s">
        <v>156</v>
      </c>
      <c r="I12" s="4" t="s">
        <v>467</v>
      </c>
      <c r="J12" s="4" t="s">
        <v>133</v>
      </c>
      <c r="K12" s="4"/>
    </row>
    <row r="13" customFormat="false" ht="15" hidden="false" customHeight="false" outlineLevel="0" collapsed="false">
      <c r="A13" s="4" t="n">
        <v>9</v>
      </c>
      <c r="B13" s="4" t="s">
        <v>468</v>
      </c>
      <c r="C13" s="4" t="s">
        <v>138</v>
      </c>
      <c r="D13" s="4" t="s">
        <v>465</v>
      </c>
      <c r="E13" s="4" t="s">
        <v>466</v>
      </c>
      <c r="F13" s="4" t="s">
        <v>146</v>
      </c>
      <c r="G13" s="4" t="s">
        <v>160</v>
      </c>
      <c r="H13" s="4" t="s">
        <v>156</v>
      </c>
      <c r="I13" s="4" t="s">
        <v>467</v>
      </c>
      <c r="J13" s="4" t="s">
        <v>133</v>
      </c>
      <c r="K13" s="4"/>
    </row>
    <row r="14" customFormat="false" ht="15" hidden="false" customHeight="false" outlineLevel="0" collapsed="false">
      <c r="A14" s="4" t="n">
        <v>10</v>
      </c>
      <c r="B14" s="4" t="s">
        <v>469</v>
      </c>
      <c r="C14" s="8" t="s">
        <v>78</v>
      </c>
      <c r="D14" s="4" t="s">
        <v>470</v>
      </c>
      <c r="E14" s="4" t="s">
        <v>471</v>
      </c>
      <c r="F14" s="4" t="s">
        <v>472</v>
      </c>
      <c r="G14" s="4" t="s">
        <v>311</v>
      </c>
      <c r="H14" s="4" t="s">
        <v>315</v>
      </c>
      <c r="I14" s="8" t="s">
        <v>444</v>
      </c>
      <c r="J14" s="4" t="s">
        <v>133</v>
      </c>
      <c r="K14" s="4"/>
    </row>
    <row r="15" customFormat="false" ht="15" hidden="false" customHeight="false" outlineLevel="0" collapsed="false">
      <c r="A15" s="4" t="n">
        <v>11</v>
      </c>
      <c r="B15" s="4" t="s">
        <v>473</v>
      </c>
      <c r="C15" s="8" t="s">
        <v>78</v>
      </c>
      <c r="D15" s="4" t="s">
        <v>474</v>
      </c>
      <c r="E15" s="4" t="s">
        <v>471</v>
      </c>
      <c r="F15" s="4" t="s">
        <v>475</v>
      </c>
      <c r="G15" s="4" t="s">
        <v>226</v>
      </c>
      <c r="H15" s="4" t="s">
        <v>117</v>
      </c>
      <c r="I15" s="8" t="s">
        <v>444</v>
      </c>
      <c r="J15" s="4" t="s">
        <v>133</v>
      </c>
      <c r="K15" s="4"/>
    </row>
    <row r="16" customFormat="false" ht="15" hidden="false" customHeight="false" outlineLevel="0" collapsed="false">
      <c r="A16" s="4" t="n">
        <v>12</v>
      </c>
      <c r="B16" s="4" t="s">
        <v>476</v>
      </c>
      <c r="C16" s="8" t="s">
        <v>78</v>
      </c>
      <c r="D16" s="4" t="s">
        <v>477</v>
      </c>
      <c r="E16" s="4" t="s">
        <v>471</v>
      </c>
      <c r="F16" s="4" t="s">
        <v>475</v>
      </c>
      <c r="G16" s="4" t="s">
        <v>294</v>
      </c>
      <c r="H16" s="4" t="s">
        <v>117</v>
      </c>
      <c r="I16" s="8" t="s">
        <v>444</v>
      </c>
      <c r="J16" s="4" t="s">
        <v>133</v>
      </c>
      <c r="K16" s="4"/>
    </row>
    <row r="17" customFormat="false" ht="15" hidden="false" customHeight="false" outlineLevel="0" collapsed="false">
      <c r="A17" s="4" t="n">
        <v>13</v>
      </c>
      <c r="B17" s="4" t="s">
        <v>478</v>
      </c>
      <c r="C17" s="4" t="s">
        <v>169</v>
      </c>
      <c r="D17" s="8" t="s">
        <v>479</v>
      </c>
      <c r="E17" s="8" t="s">
        <v>480</v>
      </c>
      <c r="F17" s="4" t="s">
        <v>481</v>
      </c>
      <c r="G17" s="4" t="s">
        <v>211</v>
      </c>
      <c r="H17" s="4" t="s">
        <v>217</v>
      </c>
      <c r="I17" s="8" t="s">
        <v>444</v>
      </c>
      <c r="J17" s="4" t="s">
        <v>133</v>
      </c>
      <c r="K17" s="4"/>
    </row>
    <row r="18" customFormat="false" ht="24" hidden="false" customHeight="false" outlineLevel="0" collapsed="false">
      <c r="A18" s="4" t="n">
        <v>14</v>
      </c>
      <c r="B18" s="4" t="s">
        <v>482</v>
      </c>
      <c r="C18" s="4" t="s">
        <v>169</v>
      </c>
      <c r="D18" s="8" t="s">
        <v>483</v>
      </c>
      <c r="E18" s="8" t="s">
        <v>480</v>
      </c>
      <c r="F18" s="4" t="s">
        <v>484</v>
      </c>
      <c r="G18" s="4" t="s">
        <v>286</v>
      </c>
      <c r="H18" s="4" t="s">
        <v>291</v>
      </c>
      <c r="I18" s="8" t="s">
        <v>444</v>
      </c>
      <c r="J18" s="4" t="s">
        <v>133</v>
      </c>
      <c r="K18" s="4"/>
    </row>
    <row r="19" customFormat="false" ht="24" hidden="false" customHeight="false" outlineLevel="0" collapsed="false">
      <c r="A19" s="4" t="n">
        <v>15</v>
      </c>
      <c r="B19" s="4" t="s">
        <v>485</v>
      </c>
      <c r="C19" s="4" t="s">
        <v>486</v>
      </c>
      <c r="D19" s="4" t="s">
        <v>487</v>
      </c>
      <c r="E19" s="4" t="s">
        <v>488</v>
      </c>
      <c r="F19" s="4" t="s">
        <v>489</v>
      </c>
      <c r="G19" s="4" t="s">
        <v>490</v>
      </c>
      <c r="H19" s="4" t="s">
        <v>338</v>
      </c>
      <c r="I19" s="8" t="s">
        <v>444</v>
      </c>
      <c r="J19" s="4" t="s">
        <v>133</v>
      </c>
      <c r="K19" s="8" t="s">
        <v>491</v>
      </c>
    </row>
    <row r="20" customFormat="false" ht="24" hidden="false" customHeight="false" outlineLevel="0" collapsed="false">
      <c r="A20" s="4" t="n">
        <v>16</v>
      </c>
      <c r="B20" s="4" t="s">
        <v>492</v>
      </c>
      <c r="C20" s="4" t="s">
        <v>486</v>
      </c>
      <c r="D20" s="4" t="s">
        <v>487</v>
      </c>
      <c r="E20" s="4" t="s">
        <v>488</v>
      </c>
      <c r="F20" s="4" t="s">
        <v>489</v>
      </c>
      <c r="G20" s="4" t="s">
        <v>493</v>
      </c>
      <c r="H20" s="4" t="s">
        <v>338</v>
      </c>
      <c r="I20" s="8" t="s">
        <v>444</v>
      </c>
      <c r="J20" s="4" t="s">
        <v>133</v>
      </c>
      <c r="K20" s="8" t="s">
        <v>491</v>
      </c>
    </row>
    <row r="21" customFormat="false" ht="15" hidden="false" customHeight="false" outlineLevel="0" collapsed="false">
      <c r="A21" s="4" t="n">
        <v>17</v>
      </c>
      <c r="B21" s="4" t="s">
        <v>494</v>
      </c>
      <c r="C21" s="4" t="s">
        <v>486</v>
      </c>
      <c r="D21" s="4" t="s">
        <v>495</v>
      </c>
      <c r="E21" s="8" t="s">
        <v>480</v>
      </c>
      <c r="F21" s="4" t="s">
        <v>489</v>
      </c>
      <c r="G21" s="4" t="s">
        <v>496</v>
      </c>
      <c r="H21" s="4" t="s">
        <v>338</v>
      </c>
      <c r="I21" s="8" t="s">
        <v>444</v>
      </c>
      <c r="J21" s="4" t="s">
        <v>133</v>
      </c>
      <c r="K21" s="4"/>
    </row>
    <row r="22" customFormat="false" ht="15" hidden="false" customHeight="false" outlineLevel="0" collapsed="false">
      <c r="A22" s="4" t="n">
        <v>18</v>
      </c>
      <c r="B22" s="4" t="s">
        <v>497</v>
      </c>
      <c r="C22" s="8" t="s">
        <v>78</v>
      </c>
      <c r="D22" s="4" t="s">
        <v>498</v>
      </c>
      <c r="E22" s="4" t="s">
        <v>499</v>
      </c>
      <c r="F22" s="4" t="s">
        <v>226</v>
      </c>
      <c r="G22" s="4" t="s">
        <v>251</v>
      </c>
      <c r="H22" s="4" t="s">
        <v>257</v>
      </c>
      <c r="I22" s="8" t="s">
        <v>444</v>
      </c>
      <c r="J22" s="4" t="s">
        <v>133</v>
      </c>
      <c r="K22" s="4"/>
    </row>
    <row r="23" customFormat="false" ht="24" hidden="false" customHeight="false" outlineLevel="0" collapsed="false">
      <c r="A23" s="4" t="n">
        <v>19</v>
      </c>
      <c r="B23" s="4" t="s">
        <v>500</v>
      </c>
      <c r="C23" s="8" t="s">
        <v>78</v>
      </c>
      <c r="D23" s="4" t="s">
        <v>501</v>
      </c>
      <c r="E23" s="4" t="s">
        <v>502</v>
      </c>
      <c r="F23" s="4" t="s">
        <v>503</v>
      </c>
      <c r="G23" s="4" t="s">
        <v>504</v>
      </c>
      <c r="H23" s="4" t="s">
        <v>239</v>
      </c>
      <c r="I23" s="8" t="s">
        <v>444</v>
      </c>
      <c r="J23" s="4" t="s">
        <v>133</v>
      </c>
      <c r="K23" s="4" t="s">
        <v>505</v>
      </c>
    </row>
    <row r="24" customFormat="false" ht="15" hidden="false" customHeight="false" outlineLevel="0" collapsed="false">
      <c r="A24" s="4" t="n">
        <v>20</v>
      </c>
      <c r="B24" s="4" t="s">
        <v>506</v>
      </c>
      <c r="C24" s="8" t="s">
        <v>78</v>
      </c>
      <c r="D24" s="4" t="s">
        <v>501</v>
      </c>
      <c r="E24" s="4" t="s">
        <v>502</v>
      </c>
      <c r="F24" s="4" t="s">
        <v>507</v>
      </c>
      <c r="G24" s="4" t="s">
        <v>294</v>
      </c>
      <c r="H24" s="4" t="s">
        <v>239</v>
      </c>
      <c r="I24" s="8" t="s">
        <v>444</v>
      </c>
      <c r="J24" s="4" t="s">
        <v>133</v>
      </c>
      <c r="K24" s="4"/>
    </row>
    <row r="25" customFormat="false" ht="35" hidden="false" customHeight="false" outlineLevel="0" collapsed="false">
      <c r="A25" s="4" t="n">
        <v>21</v>
      </c>
      <c r="B25" s="4" t="s">
        <v>508</v>
      </c>
      <c r="C25" s="8" t="s">
        <v>78</v>
      </c>
      <c r="D25" s="4" t="s">
        <v>509</v>
      </c>
      <c r="E25" s="4" t="s">
        <v>510</v>
      </c>
      <c r="F25" s="4" t="s">
        <v>511</v>
      </c>
      <c r="G25" s="4" t="s">
        <v>211</v>
      </c>
      <c r="H25" s="4" t="s">
        <v>512</v>
      </c>
      <c r="I25" s="8" t="s">
        <v>444</v>
      </c>
      <c r="J25" s="4" t="s">
        <v>133</v>
      </c>
      <c r="K25" s="4" t="s">
        <v>513</v>
      </c>
    </row>
    <row r="26" customFormat="false" ht="15" hidden="false" customHeight="false" outlineLevel="0" collapsed="false">
      <c r="A26" s="4" t="n">
        <v>22</v>
      </c>
      <c r="B26" s="4" t="s">
        <v>514</v>
      </c>
      <c r="C26" s="8" t="s">
        <v>78</v>
      </c>
      <c r="D26" s="4" t="s">
        <v>515</v>
      </c>
      <c r="E26" s="8" t="s">
        <v>516</v>
      </c>
      <c r="F26" s="4" t="s">
        <v>517</v>
      </c>
      <c r="G26" s="4" t="s">
        <v>270</v>
      </c>
      <c r="H26" s="4" t="s">
        <v>264</v>
      </c>
      <c r="I26" s="8" t="s">
        <v>444</v>
      </c>
      <c r="J26" s="4" t="s">
        <v>133</v>
      </c>
      <c r="K26" s="4"/>
    </row>
  </sheetData>
  <autoFilter ref="A4:K26"/>
  <printOptions headings="false" gridLines="false" gridLinesSet="true" horizontalCentered="false" verticalCentered="false"/>
  <pageMargins left="0.5" right="0.5" top="0.6" bottom="0.7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5" t="s">
        <v>518</v>
      </c>
    </row>
    <row r="2" customFormat="false" ht="15" hidden="false" customHeight="false" outlineLevel="0" collapsed="false">
      <c r="A2" s="2" t="s">
        <v>519</v>
      </c>
    </row>
    <row r="4" customFormat="false" ht="42" hidden="false" customHeight="true" outlineLevel="0" collapsed="false">
      <c r="A4" s="14" t="s">
        <v>520</v>
      </c>
      <c r="B4" s="14" t="s">
        <v>521</v>
      </c>
      <c r="C4" s="14" t="s">
        <v>522</v>
      </c>
      <c r="D4" s="14" t="s">
        <v>523</v>
      </c>
      <c r="E4" s="14" t="s">
        <v>524</v>
      </c>
      <c r="F4" s="14" t="s">
        <v>37</v>
      </c>
    </row>
    <row r="5" customFormat="false" ht="35" hidden="false" customHeight="false" outlineLevel="0" collapsed="false">
      <c r="A5" s="4" t="n">
        <v>1</v>
      </c>
      <c r="B5" s="4" t="s">
        <v>525</v>
      </c>
      <c r="C5" s="4" t="s">
        <v>526</v>
      </c>
      <c r="D5" s="4" t="s">
        <v>527</v>
      </c>
      <c r="E5" s="4" t="s">
        <v>528</v>
      </c>
      <c r="F5" s="4" t="s">
        <v>529</v>
      </c>
    </row>
    <row r="6" customFormat="false" ht="24" hidden="false" customHeight="false" outlineLevel="0" collapsed="false">
      <c r="A6" s="4" t="n">
        <v>2</v>
      </c>
      <c r="B6" s="4" t="s">
        <v>530</v>
      </c>
      <c r="C6" s="4" t="s">
        <v>531</v>
      </c>
      <c r="D6" s="4" t="s">
        <v>211</v>
      </c>
      <c r="E6" s="4" t="s">
        <v>532</v>
      </c>
      <c r="F6" s="4" t="s">
        <v>529</v>
      </c>
    </row>
    <row r="7" customFormat="false" ht="24" hidden="false" customHeight="false" outlineLevel="0" collapsed="false">
      <c r="A7" s="4" t="n">
        <v>3</v>
      </c>
      <c r="B7" s="4" t="s">
        <v>533</v>
      </c>
      <c r="C7" s="4" t="s">
        <v>534</v>
      </c>
      <c r="D7" s="4" t="s">
        <v>211</v>
      </c>
      <c r="E7" s="4" t="s">
        <v>535</v>
      </c>
      <c r="F7" s="4" t="s">
        <v>529</v>
      </c>
    </row>
    <row r="8" customFormat="false" ht="24" hidden="false" customHeight="false" outlineLevel="0" collapsed="false">
      <c r="A8" s="4" t="n">
        <v>4</v>
      </c>
      <c r="B8" s="4" t="s">
        <v>536</v>
      </c>
      <c r="C8" s="4" t="s">
        <v>537</v>
      </c>
      <c r="D8" s="4" t="s">
        <v>538</v>
      </c>
      <c r="E8" s="4" t="s">
        <v>539</v>
      </c>
      <c r="F8" s="4" t="s">
        <v>529</v>
      </c>
    </row>
    <row r="9" customFormat="false" ht="24" hidden="false" customHeight="false" outlineLevel="0" collapsed="false">
      <c r="A9" s="4" t="n">
        <v>5</v>
      </c>
      <c r="B9" s="4" t="s">
        <v>540</v>
      </c>
      <c r="C9" s="4" t="s">
        <v>541</v>
      </c>
      <c r="D9" s="4" t="s">
        <v>542</v>
      </c>
      <c r="E9" s="4" t="s">
        <v>543</v>
      </c>
      <c r="F9" s="4" t="s">
        <v>529</v>
      </c>
    </row>
    <row r="10" customFormat="false" ht="35" hidden="false" customHeight="false" outlineLevel="0" collapsed="false">
      <c r="A10" s="4" t="n">
        <v>6</v>
      </c>
      <c r="B10" s="4" t="s">
        <v>544</v>
      </c>
      <c r="C10" s="16" t="s">
        <v>545</v>
      </c>
      <c r="D10" s="4" t="s">
        <v>546</v>
      </c>
      <c r="E10" s="4" t="s">
        <v>547</v>
      </c>
      <c r="F10" s="4" t="s">
        <v>529</v>
      </c>
    </row>
    <row r="11" customFormat="false" ht="24" hidden="false" customHeight="false" outlineLevel="0" collapsed="false">
      <c r="A11" s="4" t="n">
        <v>7</v>
      </c>
      <c r="B11" s="4" t="s">
        <v>548</v>
      </c>
      <c r="C11" s="4" t="s">
        <v>549</v>
      </c>
      <c r="D11" s="4" t="s">
        <v>550</v>
      </c>
      <c r="E11" s="4" t="s">
        <v>551</v>
      </c>
      <c r="F11" s="4" t="s">
        <v>529</v>
      </c>
    </row>
    <row r="12" customFormat="false" ht="35" hidden="false" customHeight="false" outlineLevel="0" collapsed="false">
      <c r="A12" s="4" t="n">
        <v>8</v>
      </c>
      <c r="B12" s="4" t="s">
        <v>552</v>
      </c>
      <c r="C12" s="4" t="s">
        <v>553</v>
      </c>
      <c r="D12" s="4" t="s">
        <v>554</v>
      </c>
      <c r="E12" s="4" t="s">
        <v>555</v>
      </c>
      <c r="F12" s="4" t="s">
        <v>529</v>
      </c>
    </row>
    <row r="13" customFormat="false" ht="24" hidden="false" customHeight="false" outlineLevel="0" collapsed="false">
      <c r="A13" s="4" t="n">
        <v>9</v>
      </c>
      <c r="B13" s="4" t="s">
        <v>556</v>
      </c>
      <c r="C13" s="4" t="s">
        <v>557</v>
      </c>
      <c r="D13" s="4" t="s">
        <v>75</v>
      </c>
      <c r="E13" s="4" t="s">
        <v>558</v>
      </c>
      <c r="F13" s="4" t="s">
        <v>529</v>
      </c>
    </row>
    <row r="14" customFormat="false" ht="24" hidden="false" customHeight="false" outlineLevel="0" collapsed="false">
      <c r="A14" s="4" t="n">
        <v>10</v>
      </c>
      <c r="B14" s="4" t="s">
        <v>559</v>
      </c>
      <c r="C14" s="4" t="s">
        <v>560</v>
      </c>
      <c r="D14" s="4" t="s">
        <v>561</v>
      </c>
      <c r="E14" s="4" t="s">
        <v>551</v>
      </c>
      <c r="F14" s="4" t="s">
        <v>529</v>
      </c>
    </row>
    <row r="15" customFormat="false" ht="24" hidden="false" customHeight="false" outlineLevel="0" collapsed="false">
      <c r="A15" s="4" t="n">
        <v>11</v>
      </c>
      <c r="B15" s="4" t="s">
        <v>562</v>
      </c>
      <c r="C15" s="4" t="s">
        <v>563</v>
      </c>
      <c r="D15" s="4" t="s">
        <v>564</v>
      </c>
      <c r="E15" s="4" t="s">
        <v>565</v>
      </c>
      <c r="F15" s="4" t="s">
        <v>529</v>
      </c>
    </row>
    <row r="16" customFormat="false" ht="15" hidden="false" customHeight="false" outlineLevel="0" collapsed="false">
      <c r="A16" s="4" t="n">
        <v>12</v>
      </c>
      <c r="B16" s="4" t="s">
        <v>566</v>
      </c>
      <c r="C16" s="4" t="s">
        <v>567</v>
      </c>
      <c r="D16" s="4" t="s">
        <v>568</v>
      </c>
      <c r="E16" s="4"/>
      <c r="F16" s="4" t="s">
        <v>529</v>
      </c>
    </row>
    <row r="17" customFormat="false" ht="15" hidden="false" customHeight="false" outlineLevel="0" collapsed="false">
      <c r="A17" s="4" t="n">
        <v>13</v>
      </c>
      <c r="B17" s="4" t="s">
        <v>569</v>
      </c>
      <c r="C17" s="8" t="s">
        <v>570</v>
      </c>
      <c r="D17" s="8" t="s">
        <v>571</v>
      </c>
      <c r="E17" s="4" t="s">
        <v>572</v>
      </c>
      <c r="F17" s="4" t="s">
        <v>529</v>
      </c>
    </row>
    <row r="18" customFormat="false" ht="15" hidden="false" customHeight="false" outlineLevel="0" collapsed="false">
      <c r="A18" s="4" t="n">
        <v>14</v>
      </c>
      <c r="B18" s="4" t="s">
        <v>573</v>
      </c>
      <c r="C18" s="4" t="s">
        <v>574</v>
      </c>
      <c r="D18" s="4" t="s">
        <v>575</v>
      </c>
      <c r="E18" s="4" t="s">
        <v>576</v>
      </c>
      <c r="F18" s="4" t="s">
        <v>529</v>
      </c>
    </row>
    <row r="19" customFormat="false" ht="15" hidden="false" customHeight="false" outlineLevel="0" collapsed="false">
      <c r="A19" s="4" t="n">
        <v>15</v>
      </c>
      <c r="B19" s="4" t="s">
        <v>577</v>
      </c>
      <c r="C19" s="4" t="s">
        <v>578</v>
      </c>
      <c r="D19" s="4" t="s">
        <v>579</v>
      </c>
      <c r="E19" s="4"/>
      <c r="F19" s="4" t="s">
        <v>529</v>
      </c>
    </row>
    <row r="20" customFormat="false" ht="24" hidden="false" customHeight="false" outlineLevel="0" collapsed="false">
      <c r="A20" s="4" t="n">
        <v>16</v>
      </c>
      <c r="B20" s="4" t="s">
        <v>580</v>
      </c>
      <c r="C20" s="4" t="s">
        <v>581</v>
      </c>
      <c r="D20" s="4" t="s">
        <v>582</v>
      </c>
      <c r="E20" s="4" t="s">
        <v>583</v>
      </c>
      <c r="F20" s="4" t="s">
        <v>529</v>
      </c>
    </row>
  </sheetData>
  <autoFilter ref="A4:F20"/>
  <printOptions headings="false" gridLines="false" gridLinesSet="true" horizontalCentered="false" verticalCentered="false"/>
  <pageMargins left="0.5" right="0.5" top="0.6" bottom="0.7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5" t="s">
        <v>27</v>
      </c>
    </row>
    <row r="2" customFormat="false" ht="15" hidden="false" customHeight="false" outlineLevel="0" collapsed="false">
      <c r="A2" s="2" t="s">
        <v>584</v>
      </c>
    </row>
    <row r="4" customFormat="false" ht="42" hidden="false" customHeight="true" outlineLevel="0" collapsed="false">
      <c r="A4" s="14" t="s">
        <v>585</v>
      </c>
      <c r="B4" s="14" t="s">
        <v>586</v>
      </c>
      <c r="C4" s="14" t="s">
        <v>587</v>
      </c>
    </row>
    <row r="5" customFormat="false" ht="15" hidden="false" customHeight="false" outlineLevel="0" collapsed="false">
      <c r="A5" s="4" t="s">
        <v>133</v>
      </c>
      <c r="B5" s="4" t="s">
        <v>588</v>
      </c>
      <c r="C5" s="4" t="s">
        <v>589</v>
      </c>
    </row>
    <row r="6" customFormat="false" ht="15" hidden="false" customHeight="false" outlineLevel="0" collapsed="false">
      <c r="A6" s="4" t="s">
        <v>99</v>
      </c>
      <c r="B6" s="4" t="s">
        <v>590</v>
      </c>
      <c r="C6" s="4" t="s">
        <v>591</v>
      </c>
    </row>
    <row r="7" customFormat="false" ht="24" hidden="false" customHeight="false" outlineLevel="0" collapsed="false">
      <c r="A7" s="4" t="s">
        <v>241</v>
      </c>
      <c r="B7" s="4" t="s">
        <v>592</v>
      </c>
      <c r="C7" s="4" t="s">
        <v>593</v>
      </c>
    </row>
    <row r="8" customFormat="false" ht="15" hidden="false" customHeight="false" outlineLevel="0" collapsed="false">
      <c r="A8" s="4" t="s">
        <v>594</v>
      </c>
      <c r="B8" s="4" t="s">
        <v>595</v>
      </c>
      <c r="C8" s="4" t="s">
        <v>596</v>
      </c>
    </row>
    <row r="9" customFormat="false" ht="24" hidden="false" customHeight="false" outlineLevel="0" collapsed="false">
      <c r="A9" s="4" t="s">
        <v>597</v>
      </c>
      <c r="B9" s="4" t="s">
        <v>598</v>
      </c>
      <c r="C9" s="4" t="s">
        <v>599</v>
      </c>
    </row>
    <row r="10" customFormat="false" ht="24" hidden="false" customHeight="false" outlineLevel="0" collapsed="false">
      <c r="A10" s="4" t="s">
        <v>600</v>
      </c>
      <c r="B10" s="4" t="s">
        <v>601</v>
      </c>
      <c r="C10" s="4" t="s">
        <v>602</v>
      </c>
    </row>
    <row r="11" customFormat="false" ht="24" hidden="false" customHeight="false" outlineLevel="0" collapsed="false">
      <c r="A11" s="4" t="s">
        <v>180</v>
      </c>
      <c r="B11" s="4" t="s">
        <v>603</v>
      </c>
      <c r="C11" s="4" t="s">
        <v>604</v>
      </c>
    </row>
    <row r="12" customFormat="false" ht="15" hidden="false" customHeight="false" outlineLevel="0" collapsed="false">
      <c r="A12" s="4" t="s">
        <v>365</v>
      </c>
      <c r="B12" s="4" t="s">
        <v>605</v>
      </c>
      <c r="C12" s="4" t="s">
        <v>606</v>
      </c>
    </row>
    <row r="13" customFormat="false" ht="15" hidden="false" customHeight="false" outlineLevel="0" collapsed="false">
      <c r="A13" s="4" t="s">
        <v>223</v>
      </c>
      <c r="B13" s="4" t="s">
        <v>607</v>
      </c>
      <c r="C13" s="4" t="s">
        <v>608</v>
      </c>
    </row>
    <row r="14" customFormat="false" ht="24" hidden="false" customHeight="false" outlineLevel="0" collapsed="false">
      <c r="A14" s="4" t="s">
        <v>333</v>
      </c>
      <c r="B14" s="4" t="s">
        <v>609</v>
      </c>
      <c r="C14" s="4" t="s">
        <v>610</v>
      </c>
    </row>
    <row r="15" customFormat="false" ht="15" hidden="false" customHeight="false" outlineLevel="0" collapsed="false">
      <c r="A15" s="4" t="s">
        <v>611</v>
      </c>
      <c r="B15" s="4" t="s">
        <v>612</v>
      </c>
      <c r="C15" s="4" t="s">
        <v>613</v>
      </c>
    </row>
    <row r="16" customFormat="false" ht="24" hidden="false" customHeight="false" outlineLevel="0" collapsed="false">
      <c r="A16" s="4" t="s">
        <v>614</v>
      </c>
      <c r="B16" s="4" t="s">
        <v>615</v>
      </c>
      <c r="C16" s="4" t="s">
        <v>616</v>
      </c>
    </row>
    <row r="17" customFormat="false" ht="15" hidden="false" customHeight="false" outlineLevel="0" collapsed="false">
      <c r="A17" s="4" t="s">
        <v>617</v>
      </c>
      <c r="B17" s="4" t="s">
        <v>618</v>
      </c>
      <c r="C17" s="4" t="s">
        <v>619</v>
      </c>
    </row>
    <row r="18" customFormat="false" ht="24" hidden="false" customHeight="false" outlineLevel="0" collapsed="false">
      <c r="A18" s="4" t="s">
        <v>620</v>
      </c>
      <c r="B18" s="4" t="s">
        <v>621</v>
      </c>
      <c r="C18" s="4" t="s">
        <v>622</v>
      </c>
    </row>
    <row r="19" customFormat="false" ht="24" hidden="false" customHeight="false" outlineLevel="0" collapsed="false">
      <c r="A19" s="4" t="s">
        <v>623</v>
      </c>
      <c r="B19" s="4" t="s">
        <v>624</v>
      </c>
      <c r="C19" s="4" t="s">
        <v>625</v>
      </c>
    </row>
    <row r="20" customFormat="false" ht="15" hidden="false" customHeight="false" outlineLevel="0" collapsed="false">
      <c r="A20" s="4" t="s">
        <v>626</v>
      </c>
      <c r="B20" s="4" t="s">
        <v>627</v>
      </c>
      <c r="C20" s="4" t="s">
        <v>628</v>
      </c>
    </row>
    <row r="21" customFormat="false" ht="15" hidden="false" customHeight="false" outlineLevel="0" collapsed="false">
      <c r="A21" s="4" t="s">
        <v>629</v>
      </c>
      <c r="B21" s="4" t="s">
        <v>630</v>
      </c>
      <c r="C21" s="4" t="s">
        <v>631</v>
      </c>
    </row>
    <row r="22" customFormat="false" ht="15" hidden="false" customHeight="false" outlineLevel="0" collapsed="false">
      <c r="A22" s="4" t="s">
        <v>432</v>
      </c>
      <c r="B22" s="4" t="s">
        <v>632</v>
      </c>
      <c r="C22" s="4" t="s">
        <v>633</v>
      </c>
    </row>
  </sheetData>
  <autoFilter ref="A4:C22"/>
  <printOptions headings="false" gridLines="false" gridLinesSet="true" horizontalCentered="false" verticalCentered="false"/>
  <pageMargins left="0.5" right="0.5" top="0.6" bottom="0.7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AGV I-PRIME component list · «DOC-NO» · Rev. A · DRAFT&amp;C&amp;"Arial,Regular"&amp;8 &amp;A&amp;R&amp;"Arial,Regular"&amp;8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2026-10-31T06:50:24Z</dcterms:created>
  <dc:creator>openpyxl</dc:creator>
  <dc:description/>
  <dc:language>en-ID</dc:language>
  <cp:lastModifiedBy/>
  <dcterms:modified xsi:type="dcterms:W3CDTF">2026-10-31T06:50:24Z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